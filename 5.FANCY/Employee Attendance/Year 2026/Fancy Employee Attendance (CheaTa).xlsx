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drawings/drawing10.xml" ContentType="application/vnd.openxmlformats-officedocument.drawing+xml"/>
  <Override PartName="/xl/comments10.xml" ContentType="application/vnd.openxmlformats-officedocument.spreadsheetml.comments+xml"/>
  <Override PartName="/xl/drawings/drawing11.xml" ContentType="application/vnd.openxmlformats-officedocument.drawing+xml"/>
  <Override PartName="/xl/comments11.xml" ContentType="application/vnd.openxmlformats-officedocument.spreadsheetml.comments+xml"/>
  <Override PartName="/xl/drawings/drawing12.xml" ContentType="application/vnd.openxmlformats-officedocument.drawing+xml"/>
  <Override PartName="/xl/comments1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K:\File From MSI PC\5.FANCY\Employee Attendance\Year 2026\"/>
    </mc:Choice>
  </mc:AlternateContent>
  <xr:revisionPtr revIDLastSave="0" documentId="13_ncr:1_{425F9955-D8E6-4927-B0FF-E3D5AE192C56}" xr6:coauthVersionLast="47" xr6:coauthVersionMax="47" xr10:uidLastSave="{00000000-0000-0000-0000-000000000000}"/>
  <bookViews>
    <workbookView xWindow="13185" yWindow="-21720" windowWidth="38640" windowHeight="21120" activeTab="4" xr2:uid="{4F881178-E56B-44A4-BE15-55822C689A9E}"/>
  </bookViews>
  <sheets>
    <sheet name="January-2026" sheetId="5" r:id="rId1"/>
    <sheet name="February-2026" sheetId="6" r:id="rId2"/>
    <sheet name="March-2026" sheetId="7" r:id="rId3"/>
    <sheet name="April-2026" sheetId="8" r:id="rId4"/>
    <sheet name="May-2026" sheetId="2" r:id="rId5"/>
    <sheet name="June-2026" sheetId="9" r:id="rId6"/>
    <sheet name="July-2026" sheetId="10" r:id="rId7"/>
    <sheet name="August-2026" sheetId="11" r:id="rId8"/>
    <sheet name="September-2026" sheetId="12" r:id="rId9"/>
    <sheet name="October-2026" sheetId="13" r:id="rId10"/>
    <sheet name="November-2026" sheetId="14" r:id="rId11"/>
    <sheet name="December-2026" sheetId="15" r:id="rId12"/>
  </sheets>
  <definedNames>
    <definedName name="_xlnm.Print_Area" localSheetId="3">'April-2026'!$A$1:$AG$18</definedName>
    <definedName name="_xlnm.Print_Area" localSheetId="7">'August-2026'!$A$1:$AG$18</definedName>
    <definedName name="_xlnm.Print_Area" localSheetId="11">'December-2026'!$A$1:$AG$18</definedName>
    <definedName name="_xlnm.Print_Area" localSheetId="1">'February-2026'!$A$1:$AG$18</definedName>
    <definedName name="_xlnm.Print_Area" localSheetId="0">'January-2026'!$A$1:$AG$18</definedName>
    <definedName name="_xlnm.Print_Area" localSheetId="6">'July-2026'!$A$1:$AG$18</definedName>
    <definedName name="_xlnm.Print_Area" localSheetId="5">'June-2026'!$A$1:$AG$18</definedName>
    <definedName name="_xlnm.Print_Area" localSheetId="2">'March-2026'!$A$1:$AG$18</definedName>
    <definedName name="_xlnm.Print_Area" localSheetId="4">'May-2026'!$A$1:$AG$18</definedName>
    <definedName name="_xlnm.Print_Area" localSheetId="10">'November-2026'!$A$1:$AG$18</definedName>
    <definedName name="_xlnm.Print_Area" localSheetId="9">'October-2026'!$A$1:$AG$18</definedName>
    <definedName name="_xlnm.Print_Area" localSheetId="8">'September-2026'!$A$1:$AG$18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4" i="15" l="1"/>
  <c r="P13" i="15"/>
  <c r="P12" i="15"/>
  <c r="W9" i="15"/>
  <c r="O13" i="15" s="1"/>
  <c r="Q13" i="15" s="1"/>
  <c r="T9" i="15"/>
  <c r="Q9" i="15"/>
  <c r="K18" i="15" s="1"/>
  <c r="N9" i="15"/>
  <c r="K17" i="15" s="1"/>
  <c r="K9" i="15"/>
  <c r="K16" i="15" s="1"/>
  <c r="H9" i="15"/>
  <c r="K15" i="15" s="1"/>
  <c r="E9" i="15"/>
  <c r="K13" i="15" s="1"/>
  <c r="E14" i="14"/>
  <c r="P13" i="14"/>
  <c r="P12" i="14"/>
  <c r="W9" i="14"/>
  <c r="O13" i="14" s="1"/>
  <c r="Q13" i="14" s="1"/>
  <c r="T9" i="14"/>
  <c r="Q9" i="14"/>
  <c r="K18" i="14" s="1"/>
  <c r="N9" i="14"/>
  <c r="K17" i="14" s="1"/>
  <c r="K9" i="14"/>
  <c r="K16" i="14" s="1"/>
  <c r="H9" i="14"/>
  <c r="K15" i="14" s="1"/>
  <c r="E9" i="14"/>
  <c r="O12" i="14" s="1"/>
  <c r="Q12" i="14" s="1"/>
  <c r="K14" i="13"/>
  <c r="E14" i="13"/>
  <c r="P13" i="13"/>
  <c r="P12" i="13"/>
  <c r="W9" i="13"/>
  <c r="O13" i="13" s="1"/>
  <c r="Q13" i="13" s="1"/>
  <c r="T9" i="13"/>
  <c r="Q9" i="13"/>
  <c r="K18" i="13" s="1"/>
  <c r="N9" i="13"/>
  <c r="K17" i="13" s="1"/>
  <c r="K9" i="13"/>
  <c r="K16" i="13" s="1"/>
  <c r="H9" i="13"/>
  <c r="K15" i="13" s="1"/>
  <c r="E9" i="13"/>
  <c r="O12" i="13" s="1"/>
  <c r="Q12" i="13" s="1"/>
  <c r="Q16" i="13" s="1"/>
  <c r="E14" i="12"/>
  <c r="P12" i="12" s="1"/>
  <c r="P13" i="12"/>
  <c r="W9" i="12"/>
  <c r="O13" i="12" s="1"/>
  <c r="Q13" i="12" s="1"/>
  <c r="T9" i="12"/>
  <c r="Q9" i="12"/>
  <c r="K18" i="12" s="1"/>
  <c r="N9" i="12"/>
  <c r="K17" i="12" s="1"/>
  <c r="K9" i="12"/>
  <c r="K16" i="12" s="1"/>
  <c r="H9" i="12"/>
  <c r="K15" i="12" s="1"/>
  <c r="E9" i="12"/>
  <c r="K13" i="12" s="1"/>
  <c r="K14" i="11"/>
  <c r="E14" i="11"/>
  <c r="P13" i="11"/>
  <c r="P12" i="11"/>
  <c r="W9" i="11"/>
  <c r="O13" i="11" s="1"/>
  <c r="Q13" i="11" s="1"/>
  <c r="T9" i="11"/>
  <c r="Q9" i="11"/>
  <c r="K18" i="11" s="1"/>
  <c r="N9" i="11"/>
  <c r="K17" i="11" s="1"/>
  <c r="K9" i="11"/>
  <c r="K16" i="11" s="1"/>
  <c r="H9" i="11"/>
  <c r="K15" i="11" s="1"/>
  <c r="E9" i="11"/>
  <c r="K13" i="11" s="1"/>
  <c r="K14" i="10"/>
  <c r="E14" i="10"/>
  <c r="P13" i="10"/>
  <c r="P12" i="10"/>
  <c r="W9" i="10"/>
  <c r="O13" i="10" s="1"/>
  <c r="Q13" i="10" s="1"/>
  <c r="T9" i="10"/>
  <c r="Q9" i="10"/>
  <c r="K18" i="10" s="1"/>
  <c r="N9" i="10"/>
  <c r="K17" i="10" s="1"/>
  <c r="K9" i="10"/>
  <c r="K16" i="10" s="1"/>
  <c r="H9" i="10"/>
  <c r="K15" i="10" s="1"/>
  <c r="E9" i="10"/>
  <c r="K13" i="10" s="1"/>
  <c r="K14" i="9"/>
  <c r="E14" i="9"/>
  <c r="P13" i="9"/>
  <c r="P12" i="9"/>
  <c r="W9" i="9"/>
  <c r="O13" i="9" s="1"/>
  <c r="Q13" i="9" s="1"/>
  <c r="T9" i="9"/>
  <c r="Q9" i="9"/>
  <c r="K18" i="9" s="1"/>
  <c r="N9" i="9"/>
  <c r="K17" i="9" s="1"/>
  <c r="K9" i="9"/>
  <c r="K16" i="9" s="1"/>
  <c r="H9" i="9"/>
  <c r="K15" i="9" s="1"/>
  <c r="E9" i="9"/>
  <c r="K13" i="9" s="1"/>
  <c r="E14" i="8"/>
  <c r="P13" i="8"/>
  <c r="P12" i="8"/>
  <c r="W9" i="8"/>
  <c r="O13" i="8" s="1"/>
  <c r="Q13" i="8" s="1"/>
  <c r="T9" i="8"/>
  <c r="Q9" i="8"/>
  <c r="K18" i="8" s="1"/>
  <c r="N9" i="8"/>
  <c r="K17" i="8" s="1"/>
  <c r="K9" i="8"/>
  <c r="K16" i="8" s="1"/>
  <c r="H9" i="8"/>
  <c r="K15" i="8" s="1"/>
  <c r="E9" i="8"/>
  <c r="K13" i="8" s="1"/>
  <c r="K14" i="7"/>
  <c r="E14" i="7"/>
  <c r="P13" i="7"/>
  <c r="P12" i="7"/>
  <c r="W9" i="7"/>
  <c r="O13" i="7" s="1"/>
  <c r="Q13" i="7" s="1"/>
  <c r="T9" i="7"/>
  <c r="Q9" i="7"/>
  <c r="K18" i="7" s="1"/>
  <c r="N9" i="7"/>
  <c r="K17" i="7" s="1"/>
  <c r="K9" i="7"/>
  <c r="K16" i="7" s="1"/>
  <c r="H9" i="7"/>
  <c r="K15" i="7" s="1"/>
  <c r="E9" i="7"/>
  <c r="O12" i="7" s="1"/>
  <c r="Q12" i="7" s="1"/>
  <c r="E14" i="6"/>
  <c r="P12" i="6" s="1"/>
  <c r="P13" i="6"/>
  <c r="W9" i="6"/>
  <c r="K14" i="6" s="1"/>
  <c r="T9" i="6"/>
  <c r="Q9" i="6"/>
  <c r="K18" i="6" s="1"/>
  <c r="N9" i="6"/>
  <c r="K17" i="6" s="1"/>
  <c r="K9" i="6"/>
  <c r="K16" i="6" s="1"/>
  <c r="H9" i="6"/>
  <c r="K15" i="6" s="1"/>
  <c r="E9" i="6"/>
  <c r="K13" i="6" s="1"/>
  <c r="E14" i="5"/>
  <c r="P13" i="5"/>
  <c r="P12" i="5"/>
  <c r="W9" i="5"/>
  <c r="K14" i="5" s="1"/>
  <c r="T9" i="5"/>
  <c r="Q9" i="5"/>
  <c r="K18" i="5" s="1"/>
  <c r="N9" i="5"/>
  <c r="K17" i="5" s="1"/>
  <c r="K9" i="5"/>
  <c r="K16" i="5" s="1"/>
  <c r="H9" i="5"/>
  <c r="K15" i="5" s="1"/>
  <c r="E9" i="5"/>
  <c r="K13" i="5" s="1"/>
  <c r="W9" i="2"/>
  <c r="K14" i="2" s="1"/>
  <c r="T9" i="2"/>
  <c r="Q9" i="2"/>
  <c r="K18" i="2" s="1"/>
  <c r="N9" i="2"/>
  <c r="K17" i="2" s="1"/>
  <c r="K9" i="2"/>
  <c r="K16" i="2" s="1"/>
  <c r="H9" i="2"/>
  <c r="K15" i="2" s="1"/>
  <c r="E9" i="2"/>
  <c r="O12" i="2" s="1"/>
  <c r="Q12" i="2" s="1"/>
  <c r="P13" i="2"/>
  <c r="P12" i="2"/>
  <c r="E14" i="2"/>
  <c r="K14" i="14" l="1"/>
  <c r="K14" i="15"/>
  <c r="K14" i="12"/>
  <c r="O12" i="10"/>
  <c r="Q12" i="10" s="1"/>
  <c r="O13" i="6"/>
  <c r="Q13" i="6" s="1"/>
  <c r="O13" i="5"/>
  <c r="Q13" i="5" s="1"/>
  <c r="O12" i="15"/>
  <c r="Q12" i="15" s="1"/>
  <c r="Q16" i="15" s="1"/>
  <c r="Q16" i="14"/>
  <c r="K13" i="14"/>
  <c r="K13" i="13"/>
  <c r="O12" i="12"/>
  <c r="Q12" i="12" s="1"/>
  <c r="Q16" i="12" s="1"/>
  <c r="O12" i="11"/>
  <c r="Q12" i="11" s="1"/>
  <c r="Q16" i="11" s="1"/>
  <c r="Q16" i="10"/>
  <c r="O12" i="9"/>
  <c r="Q12" i="9" s="1"/>
  <c r="Q16" i="9" s="1"/>
  <c r="O12" i="8"/>
  <c r="Q12" i="8" s="1"/>
  <c r="Q16" i="8" s="1"/>
  <c r="K14" i="8"/>
  <c r="Q16" i="7"/>
  <c r="K13" i="7"/>
  <c r="O12" i="6"/>
  <c r="Q12" i="6" s="1"/>
  <c r="O12" i="5"/>
  <c r="Q12" i="5" s="1"/>
  <c r="K13" i="2"/>
  <c r="O13" i="2"/>
  <c r="Q13" i="2" s="1"/>
  <c r="Q16" i="2" s="1"/>
  <c r="Q16" i="5" l="1"/>
  <c r="Q16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MSI</author>
  </authors>
  <commentList>
    <comment ref="E13" authorId="0" shapeId="0" xr:uid="{0B4DE414-5079-45EC-9E0E-F760B161B6B7}">
      <text>
        <r>
          <rPr>
            <b/>
            <sz val="9"/>
            <color indexed="81"/>
            <rFont val="Tahoma"/>
          </rPr>
          <t>MSI:</t>
        </r>
        <r>
          <rPr>
            <sz val="9"/>
            <color indexed="81"/>
            <rFont val="Tahoma"/>
          </rPr>
          <t xml:space="preserve">
Used to derive daily rate = base salary / working days.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MSI</author>
  </authors>
  <commentList>
    <comment ref="E13" authorId="0" shapeId="0" xr:uid="{1EDFD4E2-1DAA-42C7-B5A4-19C3E488268C}">
      <text>
        <r>
          <rPr>
            <b/>
            <sz val="9"/>
            <color indexed="81"/>
            <rFont val="Tahoma"/>
          </rPr>
          <t>MSI:</t>
        </r>
        <r>
          <rPr>
            <sz val="9"/>
            <color indexed="81"/>
            <rFont val="Tahoma"/>
          </rPr>
          <t xml:space="preserve">
Used to derive daily rate = base salary / working days.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MSI</author>
  </authors>
  <commentList>
    <comment ref="E13" authorId="0" shapeId="0" xr:uid="{1E8AEAF6-875D-4998-A8B4-EEB9CD9B5668}">
      <text>
        <r>
          <rPr>
            <b/>
            <sz val="9"/>
            <color indexed="81"/>
            <rFont val="Tahoma"/>
          </rPr>
          <t>MSI:</t>
        </r>
        <r>
          <rPr>
            <sz val="9"/>
            <color indexed="81"/>
            <rFont val="Tahoma"/>
          </rPr>
          <t xml:space="preserve">
Used to derive daily rate = base salary / working days.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MSI</author>
  </authors>
  <commentList>
    <comment ref="E13" authorId="0" shapeId="0" xr:uid="{8E140B54-6FF6-43BA-89D3-087F8640CC43}">
      <text>
        <r>
          <rPr>
            <b/>
            <sz val="9"/>
            <color indexed="81"/>
            <rFont val="Tahoma"/>
          </rPr>
          <t>MSI:</t>
        </r>
        <r>
          <rPr>
            <sz val="9"/>
            <color indexed="81"/>
            <rFont val="Tahoma"/>
          </rPr>
          <t xml:space="preserve">
Used to derive daily rate = base salary / working days.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MSI</author>
  </authors>
  <commentList>
    <comment ref="E13" authorId="0" shapeId="0" xr:uid="{7EA804A2-84EF-442C-B365-E7BB49E06B81}">
      <text>
        <r>
          <rPr>
            <b/>
            <sz val="9"/>
            <color indexed="81"/>
            <rFont val="Tahoma"/>
          </rPr>
          <t>MSI:</t>
        </r>
        <r>
          <rPr>
            <sz val="9"/>
            <color indexed="81"/>
            <rFont val="Tahoma"/>
          </rPr>
          <t xml:space="preserve">
Used to derive daily rate = base salary / working days.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MSI</author>
  </authors>
  <commentList>
    <comment ref="E13" authorId="0" shapeId="0" xr:uid="{48C67941-1852-4435-984F-6E76FB7603A5}">
      <text>
        <r>
          <rPr>
            <b/>
            <sz val="9"/>
            <color indexed="81"/>
            <rFont val="Tahoma"/>
          </rPr>
          <t>MSI:</t>
        </r>
        <r>
          <rPr>
            <sz val="9"/>
            <color indexed="81"/>
            <rFont val="Tahoma"/>
          </rPr>
          <t xml:space="preserve">
Used to derive daily rate = base salary / working days.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MSI</author>
  </authors>
  <commentList>
    <comment ref="E13" authorId="0" shapeId="0" xr:uid="{911002F6-C122-4CE5-B09D-E00DE25A7E8A}">
      <text>
        <r>
          <rPr>
            <b/>
            <sz val="9"/>
            <color indexed="81"/>
            <rFont val="Tahoma"/>
          </rPr>
          <t>MSI:</t>
        </r>
        <r>
          <rPr>
            <sz val="9"/>
            <color indexed="81"/>
            <rFont val="Tahoma"/>
          </rPr>
          <t xml:space="preserve">
Used to derive daily rate = base salary / working days.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MSI</author>
  </authors>
  <commentList>
    <comment ref="E13" authorId="0" shapeId="0" xr:uid="{96ABCACC-72C6-4FD1-92E1-41CE6BF03604}">
      <text>
        <r>
          <rPr>
            <b/>
            <sz val="9"/>
            <color indexed="81"/>
            <rFont val="Tahoma"/>
          </rPr>
          <t>MSI:</t>
        </r>
        <r>
          <rPr>
            <sz val="9"/>
            <color indexed="81"/>
            <rFont val="Tahoma"/>
          </rPr>
          <t xml:space="preserve">
Used to derive daily rate = base salary / working days.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MSI</author>
  </authors>
  <commentList>
    <comment ref="E13" authorId="0" shapeId="0" xr:uid="{9A452C6B-4EB0-43F3-A429-DFED5F4183EE}">
      <text>
        <r>
          <rPr>
            <b/>
            <sz val="9"/>
            <color indexed="81"/>
            <rFont val="Tahoma"/>
          </rPr>
          <t>MSI:</t>
        </r>
        <r>
          <rPr>
            <sz val="9"/>
            <color indexed="81"/>
            <rFont val="Tahoma"/>
          </rPr>
          <t xml:space="preserve">
Used to derive daily rate = base salary / working days.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MSI</author>
  </authors>
  <commentList>
    <comment ref="E13" authorId="0" shapeId="0" xr:uid="{2614ECD4-51B6-4380-B2DB-9C4B6A31F426}">
      <text>
        <r>
          <rPr>
            <b/>
            <sz val="9"/>
            <color indexed="81"/>
            <rFont val="Tahoma"/>
          </rPr>
          <t>MSI:</t>
        </r>
        <r>
          <rPr>
            <sz val="9"/>
            <color indexed="81"/>
            <rFont val="Tahoma"/>
          </rPr>
          <t xml:space="preserve">
Used to derive daily rate = base salary / working days.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MSI</author>
  </authors>
  <commentList>
    <comment ref="E13" authorId="0" shapeId="0" xr:uid="{B2C2D52A-1EB7-4947-8D5E-0FD6F62747F5}">
      <text>
        <r>
          <rPr>
            <b/>
            <sz val="9"/>
            <color indexed="81"/>
            <rFont val="Tahoma"/>
          </rPr>
          <t>MSI:</t>
        </r>
        <r>
          <rPr>
            <sz val="9"/>
            <color indexed="81"/>
            <rFont val="Tahoma"/>
          </rPr>
          <t xml:space="preserve">
Used to derive daily rate = base salary / working days.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MSI</author>
  </authors>
  <commentList>
    <comment ref="E13" authorId="0" shapeId="0" xr:uid="{7FCEE81A-717B-47CD-BA67-93883A4749D7}">
      <text>
        <r>
          <rPr>
            <b/>
            <sz val="9"/>
            <color indexed="81"/>
            <rFont val="Tahoma"/>
          </rPr>
          <t>MSI:</t>
        </r>
        <r>
          <rPr>
            <sz val="9"/>
            <color indexed="81"/>
            <rFont val="Tahoma"/>
          </rPr>
          <t xml:space="preserve">
Used to derive daily rate = base salary / working days.</t>
        </r>
      </text>
    </comment>
  </commentList>
</comments>
</file>

<file path=xl/sharedStrings.xml><?xml version="1.0" encoding="utf-8"?>
<sst xmlns="http://schemas.openxmlformats.org/spreadsheetml/2006/main" count="910" uniqueCount="62">
  <si>
    <t>P</t>
  </si>
  <si>
    <t>H</t>
  </si>
  <si>
    <t>OT Hours</t>
  </si>
  <si>
    <t>Attended:</t>
  </si>
  <si>
    <t>✓</t>
  </si>
  <si>
    <t>S</t>
  </si>
  <si>
    <t>Personal leave:</t>
  </si>
  <si>
    <t>Vacation:</t>
  </si>
  <si>
    <t>V</t>
  </si>
  <si>
    <t>Absent:</t>
  </si>
  <si>
    <t>X</t>
  </si>
  <si>
    <t>Non-working / Public holiday</t>
  </si>
  <si>
    <t>Employee 1 - Name: Lo SoCheata</t>
  </si>
  <si>
    <t>Normal Working Day</t>
  </si>
  <si>
    <t>Statistics</t>
  </si>
  <si>
    <t>Sick:</t>
  </si>
  <si>
    <t>Personal:</t>
  </si>
  <si>
    <t>Holiday:</t>
  </si>
  <si>
    <t>Overtime:</t>
  </si>
  <si>
    <t>NOTES</t>
  </si>
  <si>
    <t>Base salary ($/month)</t>
  </si>
  <si>
    <t>Working days/month</t>
  </si>
  <si>
    <t>Daily rate ($/day)</t>
  </si>
  <si>
    <t>OT rate ($/hour)</t>
  </si>
  <si>
    <t>Attendance Calculation</t>
  </si>
  <si>
    <t>Description</t>
  </si>
  <si>
    <t>Total attended</t>
  </si>
  <si>
    <t>Total sick leave</t>
  </si>
  <si>
    <t>Total personal leave</t>
  </si>
  <si>
    <t>Total vacation</t>
  </si>
  <si>
    <t>Total absent</t>
  </si>
  <si>
    <t>Salary Calculation</t>
  </si>
  <si>
    <t>Attended</t>
  </si>
  <si>
    <t>Over Time</t>
  </si>
  <si>
    <t>Borrow</t>
  </si>
  <si>
    <t>Bonus</t>
  </si>
  <si>
    <t>Total Salary</t>
  </si>
  <si>
    <t>Attendance for the month: APRIL-2026</t>
  </si>
  <si>
    <t>Time In</t>
  </si>
  <si>
    <t>Time Out</t>
  </si>
  <si>
    <t>9:00AM</t>
  </si>
  <si>
    <t>5:00PM</t>
  </si>
  <si>
    <t>10:00AM</t>
  </si>
  <si>
    <t>8:00PM</t>
  </si>
  <si>
    <t>7:00PM</t>
  </si>
  <si>
    <t>6:00PM</t>
  </si>
  <si>
    <t>Total over time</t>
  </si>
  <si>
    <t>Attendance for the month: MAY-2026</t>
  </si>
  <si>
    <t>SUM</t>
  </si>
  <si>
    <t>Attendance for the month: JANUARY-2026</t>
  </si>
  <si>
    <t>Attendance for the month: FEBRUARY-2026</t>
  </si>
  <si>
    <t>Attendance for the month: MARCH-2026</t>
  </si>
  <si>
    <t>Attendance for the month: JUNE-2026</t>
  </si>
  <si>
    <t>Attendance for the month: JULY-2026</t>
  </si>
  <si>
    <t>Attendance for the month: AUGUST-2026</t>
  </si>
  <si>
    <t>Attendance for the month: SEPTEMBER-2026</t>
  </si>
  <si>
    <t>Attendance for the month: OCTOBER-2026</t>
  </si>
  <si>
    <t>Attendance for the month: NOVEMBER-2026</t>
  </si>
  <si>
    <t>Attendance for the month: DECEMBER-2026</t>
  </si>
  <si>
    <t>ple</t>
  </si>
  <si>
    <t>11:00AM</t>
  </si>
  <si>
    <t>3:00PM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</si>
</sst>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"/>
    <numFmt numFmtId="167" formatCode="&quot;$&quot;#,##0.00;\(&quot;$&quot;#,##0.00\);\-"/>
    <numFmt numFmtId="172" formatCode="0&quot; hr&quot;"/>
    <numFmt numFmtId="173" formatCode="0&quot; hr&quot;;;"/>
    <numFmt numFmtId="174" formatCode="0&quot; days&quot;"/>
  </numFmts>
  <fonts count="1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sz val="9"/>
      <color indexed="81"/>
      <name val="Tahoma"/>
    </font>
    <font>
      <b/>
      <sz val="9"/>
      <color indexed="81"/>
      <name val="Tahoma"/>
    </font>
    <font>
      <b/>
      <sz val="11"/>
      <color rgb="FFFFFFFF"/>
      <name val="Aptos Narrow"/>
      <family val="2"/>
      <scheme val="minor"/>
    </font>
    <font>
      <sz val="11"/>
      <color rgb="FF008000"/>
      <name val="Aptos Narrow"/>
      <family val="2"/>
      <scheme val="minor"/>
    </font>
    <font>
      <b/>
      <sz val="11"/>
      <color rgb="FF008000"/>
      <name val="Aptos Narrow"/>
      <family val="2"/>
      <scheme val="minor"/>
    </font>
    <font>
      <b/>
      <sz val="14"/>
      <color rgb="FF1F3864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4"/>
      <color rgb="FF7F5A2E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2E9BD6"/>
        <bgColor indexed="64"/>
      </patternFill>
    </fill>
    <fill>
      <patternFill patternType="solid">
        <fgColor rgb="FF9B30C9"/>
        <bgColor indexed="64"/>
      </patternFill>
    </fill>
    <fill>
      <patternFill patternType="solid">
        <fgColor rgb="FFF5A623"/>
        <bgColor indexed="64"/>
      </patternFill>
    </fill>
    <fill>
      <patternFill patternType="solid">
        <fgColor rgb="FFF0612E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66B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2C14E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ck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ck">
        <color rgb="FF808080"/>
      </bottom>
      <diagonal/>
    </border>
    <border>
      <left/>
      <right style="thin">
        <color rgb="FF808080"/>
      </right>
      <top style="thin">
        <color rgb="FF808080"/>
      </top>
      <bottom style="thick">
        <color rgb="FF80808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9" fillId="0" borderId="0" xfId="0" applyFont="1" applyAlignment="1">
      <alignment horizontal="center"/>
    </xf>
    <xf numFmtId="0" fontId="10" fillId="3" borderId="0" xfId="0" applyFont="1" applyFill="1" applyAlignment="1">
      <alignment horizontal="center"/>
    </xf>
    <xf numFmtId="0" fontId="10" fillId="4" borderId="0" xfId="0" applyFont="1" applyFill="1" applyAlignment="1">
      <alignment horizontal="center"/>
    </xf>
    <xf numFmtId="0" fontId="10" fillId="5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10" fillId="7" borderId="0" xfId="0" applyFont="1" applyFill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1" fontId="6" fillId="9" borderId="3" xfId="0" applyNumberFormat="1" applyFont="1" applyFill="1" applyBorder="1" applyAlignment="1">
      <alignment horizontal="center"/>
    </xf>
    <xf numFmtId="1" fontId="6" fillId="8" borderId="3" xfId="0" applyNumberFormat="1" applyFont="1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173" fontId="0" fillId="0" borderId="3" xfId="0" applyNumberFormat="1" applyBorder="1" applyAlignment="1">
      <alignment horizontal="center" vertical="center"/>
    </xf>
    <xf numFmtId="0" fontId="0" fillId="0" borderId="3" xfId="0" applyBorder="1"/>
    <xf numFmtId="0" fontId="0" fillId="0" borderId="5" xfId="0" applyBorder="1"/>
    <xf numFmtId="0" fontId="2" fillId="10" borderId="3" xfId="0" applyFont="1" applyFill="1" applyBorder="1" applyAlignment="1">
      <alignment horizontal="center"/>
    </xf>
    <xf numFmtId="164" fontId="3" fillId="0" borderId="3" xfId="0" applyNumberFormat="1" applyFont="1" applyBorder="1" applyAlignment="1">
      <alignment horizontal="center"/>
    </xf>
    <xf numFmtId="1" fontId="3" fillId="0" borderId="3" xfId="0" applyNumberFormat="1" applyFon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0" fontId="2" fillId="11" borderId="3" xfId="0" applyFont="1" applyFill="1" applyBorder="1" applyAlignment="1">
      <alignment horizontal="center"/>
    </xf>
    <xf numFmtId="174" fontId="0" fillId="0" borderId="3" xfId="0" applyNumberFormat="1" applyBorder="1" applyAlignment="1">
      <alignment horizontal="center"/>
    </xf>
    <xf numFmtId="172" fontId="0" fillId="0" borderId="3" xfId="0" applyNumberFormat="1" applyBorder="1" applyAlignment="1">
      <alignment horizontal="center"/>
    </xf>
    <xf numFmtId="174" fontId="7" fillId="0" borderId="3" xfId="0" applyNumberFormat="1" applyFont="1" applyBorder="1" applyAlignment="1">
      <alignment horizontal="center"/>
    </xf>
    <xf numFmtId="164" fontId="7" fillId="0" borderId="3" xfId="0" applyNumberFormat="1" applyFont="1" applyBorder="1"/>
    <xf numFmtId="172" fontId="7" fillId="0" borderId="3" xfId="0" applyNumberFormat="1" applyFont="1" applyBorder="1" applyAlignment="1">
      <alignment horizontal="center"/>
    </xf>
    <xf numFmtId="0" fontId="12" fillId="0" borderId="2" xfId="0" applyFont="1" applyBorder="1"/>
    <xf numFmtId="0" fontId="8" fillId="0" borderId="3" xfId="0" applyFont="1" applyBorder="1"/>
    <xf numFmtId="167" fontId="1" fillId="0" borderId="3" xfId="0" applyNumberFormat="1" applyFont="1" applyBorder="1"/>
    <xf numFmtId="167" fontId="7" fillId="0" borderId="5" xfId="0" applyNumberFormat="1" applyFont="1" applyBorder="1"/>
    <xf numFmtId="164" fontId="8" fillId="0" borderId="6" xfId="0" applyNumberFormat="1" applyFont="1" applyBorder="1"/>
    <xf numFmtId="0" fontId="11" fillId="12" borderId="0" xfId="0" applyFont="1" applyFill="1" applyAlignment="1">
      <alignment horizontal="center"/>
    </xf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2" fillId="11" borderId="3" xfId="0" applyFont="1" applyFill="1" applyBorder="1" applyAlignment="1">
      <alignment horizontal="centerContinuous"/>
    </xf>
    <xf numFmtId="0" fontId="0" fillId="11" borderId="3" xfId="0" applyFill="1" applyBorder="1" applyAlignment="1">
      <alignment horizontal="centerContinuous"/>
    </xf>
    <xf numFmtId="0" fontId="8" fillId="0" borderId="6" xfId="0" applyFont="1" applyBorder="1" applyAlignment="1">
      <alignment horizontal="centerContinuous"/>
    </xf>
    <xf numFmtId="0" fontId="0" fillId="0" borderId="6" xfId="0" applyBorder="1" applyAlignment="1">
      <alignment horizontal="centerContinuous"/>
    </xf>
    <xf numFmtId="0" fontId="12" fillId="0" borderId="4" xfId="0" applyFont="1" applyBorder="1"/>
    <xf numFmtId="0" fontId="8" fillId="0" borderId="7" xfId="0" applyFont="1" applyBorder="1"/>
    <xf numFmtId="0" fontId="8" fillId="0" borderId="8" xfId="0" applyFont="1" applyBorder="1"/>
    <xf numFmtId="0" fontId="0" fillId="13" borderId="1" xfId="0" applyFill="1" applyBorder="1"/>
    <xf numFmtId="0" fontId="2" fillId="13" borderId="1" xfId="0" applyFont="1" applyFill="1" applyBorder="1" applyAlignment="1">
      <alignment horizontal="centerContinuous" vertical="center"/>
    </xf>
    <xf numFmtId="0" fontId="2" fillId="13" borderId="1" xfId="0" applyFont="1" applyFill="1" applyBorder="1" applyAlignment="1">
      <alignment horizontal="centerContinuous"/>
    </xf>
    <xf numFmtId="0" fontId="0" fillId="13" borderId="1" xfId="0" applyFill="1" applyBorder="1" applyAlignment="1">
      <alignment horizontal="centerContinuous"/>
    </xf>
    <xf numFmtId="1" fontId="2" fillId="13" borderId="1" xfId="0" applyNumberFormat="1" applyFont="1" applyFill="1" applyBorder="1" applyAlignment="1">
      <alignment horizontal="center"/>
    </xf>
    <xf numFmtId="172" fontId="2" fillId="13" borderId="1" xfId="0" applyNumberFormat="1" applyFont="1" applyFill="1" applyBorder="1" applyAlignment="1">
      <alignment horizontal="center"/>
    </xf>
    <xf numFmtId="1" fontId="6" fillId="2" borderId="3" xfId="0" applyNumberFormat="1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73" fontId="0" fillId="2" borderId="3" xfId="0" applyNumberFormat="1" applyFill="1" applyBorder="1" applyAlignment="1">
      <alignment horizontal="center" vertical="center"/>
    </xf>
  </cellXfs>
  <cellStyles count="1">
    <cellStyle name="Normal" xfId="0" builtinId="0"/>
  </cellStyles>
  <dxfs count="95">
    <dxf>
      <fill>
        <patternFill patternType="solid">
          <fgColor indexed="64"/>
          <bgColor rgb="FFFCE4D6"/>
        </patternFill>
      </fill>
    </dxf>
    <dxf>
      <font>
        <color rgb="FF7F5A2E"/>
      </font>
      <fill>
        <patternFill patternType="solid">
          <fgColor indexed="64"/>
          <bgColor rgb="FFFFD966"/>
        </patternFill>
      </fill>
    </dxf>
    <dxf>
      <font>
        <color rgb="FFFFFFFF"/>
      </font>
      <fill>
        <patternFill patternType="solid">
          <fgColor indexed="64"/>
          <bgColor rgb="FFBFBFBF"/>
        </patternFill>
      </fill>
    </dxf>
    <dxf>
      <font>
        <color rgb="FFFFFFFF"/>
      </font>
      <fill>
        <patternFill patternType="solid">
          <fgColor indexed="64"/>
          <bgColor rgb="FFF0612E"/>
        </patternFill>
      </fill>
    </dxf>
    <dxf>
      <font>
        <color rgb="FFFFFFFF"/>
      </font>
      <fill>
        <patternFill patternType="solid">
          <fgColor indexed="64"/>
          <bgColor rgb="FFF5A623"/>
        </patternFill>
      </fill>
    </dxf>
    <dxf>
      <font>
        <color rgb="FFFFFFFF"/>
      </font>
      <fill>
        <patternFill patternType="solid">
          <fgColor indexed="64"/>
          <bgColor rgb="FF9B30C9"/>
        </patternFill>
      </fill>
    </dxf>
    <dxf>
      <font>
        <color rgb="FFFFFFFF"/>
      </font>
      <fill>
        <patternFill patternType="solid">
          <fgColor indexed="64"/>
          <bgColor rgb="FF2E9BD6"/>
        </patternFill>
      </fill>
    </dxf>
    <dxf>
      <fill>
        <patternFill patternType="solid">
          <fgColor indexed="64"/>
          <bgColor rgb="FFFCE4D6"/>
        </patternFill>
      </fill>
    </dxf>
    <dxf>
      <font>
        <color rgb="FF7F5A2E"/>
      </font>
      <fill>
        <patternFill patternType="solid">
          <fgColor indexed="64"/>
          <bgColor rgb="FFFFD966"/>
        </patternFill>
      </fill>
    </dxf>
    <dxf>
      <font>
        <color rgb="FFFFFFFF"/>
      </font>
      <fill>
        <patternFill patternType="solid">
          <fgColor indexed="64"/>
          <bgColor rgb="FFBFBFBF"/>
        </patternFill>
      </fill>
    </dxf>
    <dxf>
      <font>
        <color rgb="FFFFFFFF"/>
      </font>
      <fill>
        <patternFill patternType="solid">
          <fgColor indexed="64"/>
          <bgColor rgb="FFF0612E"/>
        </patternFill>
      </fill>
    </dxf>
    <dxf>
      <font>
        <color rgb="FFFFFFFF"/>
      </font>
      <fill>
        <patternFill patternType="solid">
          <fgColor indexed="64"/>
          <bgColor rgb="FFF5A623"/>
        </patternFill>
      </fill>
    </dxf>
    <dxf>
      <font>
        <color rgb="FFFFFFFF"/>
      </font>
      <fill>
        <patternFill patternType="solid">
          <fgColor indexed="64"/>
          <bgColor rgb="FF9B30C9"/>
        </patternFill>
      </fill>
    </dxf>
    <dxf>
      <font>
        <color rgb="FFFFFFFF"/>
      </font>
      <fill>
        <patternFill patternType="solid">
          <fgColor indexed="64"/>
          <bgColor rgb="FF2E9BD6"/>
        </patternFill>
      </fill>
    </dxf>
    <dxf>
      <fill>
        <patternFill patternType="solid">
          <fgColor indexed="64"/>
          <bgColor rgb="FFFCE4D6"/>
        </patternFill>
      </fill>
    </dxf>
    <dxf>
      <font>
        <color rgb="FF7F5A2E"/>
      </font>
      <fill>
        <patternFill patternType="solid">
          <fgColor indexed="64"/>
          <bgColor rgb="FFFFD966"/>
        </patternFill>
      </fill>
    </dxf>
    <dxf>
      <font>
        <color rgb="FFFFFFFF"/>
      </font>
      <fill>
        <patternFill patternType="solid">
          <fgColor indexed="64"/>
          <bgColor rgb="FFBFBFBF"/>
        </patternFill>
      </fill>
    </dxf>
    <dxf>
      <font>
        <color rgb="FFFFFFFF"/>
      </font>
      <fill>
        <patternFill patternType="solid">
          <fgColor indexed="64"/>
          <bgColor rgb="FFF0612E"/>
        </patternFill>
      </fill>
    </dxf>
    <dxf>
      <font>
        <color rgb="FFFFFFFF"/>
      </font>
      <fill>
        <patternFill patternType="solid">
          <fgColor indexed="64"/>
          <bgColor rgb="FFF5A623"/>
        </patternFill>
      </fill>
    </dxf>
    <dxf>
      <font>
        <color rgb="FFFFFFFF"/>
      </font>
      <fill>
        <patternFill patternType="solid">
          <fgColor indexed="64"/>
          <bgColor rgb="FF9B30C9"/>
        </patternFill>
      </fill>
    </dxf>
    <dxf>
      <font>
        <color rgb="FFFFFFFF"/>
      </font>
      <fill>
        <patternFill patternType="solid">
          <fgColor indexed="64"/>
          <bgColor rgb="FF2E9BD6"/>
        </patternFill>
      </fill>
    </dxf>
    <dxf>
      <fill>
        <patternFill patternType="solid">
          <fgColor indexed="64"/>
          <bgColor rgb="FFFCE4D6"/>
        </patternFill>
      </fill>
    </dxf>
    <dxf>
      <font>
        <color rgb="FF7F5A2E"/>
      </font>
      <fill>
        <patternFill patternType="solid">
          <fgColor indexed="64"/>
          <bgColor rgb="FFFFD966"/>
        </patternFill>
      </fill>
    </dxf>
    <dxf>
      <font>
        <color rgb="FFFFFFFF"/>
      </font>
      <fill>
        <patternFill patternType="solid">
          <fgColor indexed="64"/>
          <bgColor rgb="FFBFBFBF"/>
        </patternFill>
      </fill>
    </dxf>
    <dxf>
      <font>
        <color rgb="FFFFFFFF"/>
      </font>
      <fill>
        <patternFill patternType="solid">
          <fgColor indexed="64"/>
          <bgColor rgb="FFF0612E"/>
        </patternFill>
      </fill>
    </dxf>
    <dxf>
      <font>
        <color rgb="FFFFFFFF"/>
      </font>
      <fill>
        <patternFill patternType="solid">
          <fgColor indexed="64"/>
          <bgColor rgb="FFF5A623"/>
        </patternFill>
      </fill>
    </dxf>
    <dxf>
      <font>
        <color rgb="FFFFFFFF"/>
      </font>
      <fill>
        <patternFill patternType="solid">
          <fgColor indexed="64"/>
          <bgColor rgb="FF9B30C9"/>
        </patternFill>
      </fill>
    </dxf>
    <dxf>
      <font>
        <color rgb="FFFFFFFF"/>
      </font>
      <fill>
        <patternFill patternType="solid">
          <fgColor indexed="64"/>
          <bgColor rgb="FF2E9BD6"/>
        </patternFill>
      </fill>
    </dxf>
    <dxf>
      <fill>
        <patternFill patternType="solid">
          <fgColor indexed="64"/>
          <bgColor rgb="FFFCE4D6"/>
        </patternFill>
      </fill>
    </dxf>
    <dxf>
      <font>
        <color rgb="FF7F5A2E"/>
      </font>
      <fill>
        <patternFill patternType="solid">
          <fgColor indexed="64"/>
          <bgColor rgb="FFFFD966"/>
        </patternFill>
      </fill>
    </dxf>
    <dxf>
      <font>
        <color rgb="FFFFFFFF"/>
      </font>
      <fill>
        <patternFill patternType="solid">
          <fgColor indexed="64"/>
          <bgColor rgb="FFBFBFBF"/>
        </patternFill>
      </fill>
    </dxf>
    <dxf>
      <font>
        <color rgb="FFFFFFFF"/>
      </font>
      <fill>
        <patternFill patternType="solid">
          <fgColor indexed="64"/>
          <bgColor rgb="FFF0612E"/>
        </patternFill>
      </fill>
    </dxf>
    <dxf>
      <font>
        <color rgb="FFFFFFFF"/>
      </font>
      <fill>
        <patternFill patternType="solid">
          <fgColor indexed="64"/>
          <bgColor rgb="FFF5A623"/>
        </patternFill>
      </fill>
    </dxf>
    <dxf>
      <font>
        <color rgb="FFFFFFFF"/>
      </font>
      <fill>
        <patternFill patternType="solid">
          <fgColor indexed="64"/>
          <bgColor rgb="FF9B30C9"/>
        </patternFill>
      </fill>
    </dxf>
    <dxf>
      <font>
        <color rgb="FFFFFFFF"/>
      </font>
      <fill>
        <patternFill patternType="solid">
          <fgColor indexed="64"/>
          <bgColor rgb="FF2E9BD6"/>
        </patternFill>
      </fill>
    </dxf>
    <dxf>
      <fill>
        <patternFill patternType="solid">
          <fgColor indexed="64"/>
          <bgColor rgb="FFFCE4D6"/>
        </patternFill>
      </fill>
    </dxf>
    <dxf>
      <font>
        <color rgb="FF7F5A2E"/>
      </font>
      <fill>
        <patternFill patternType="solid">
          <fgColor indexed="64"/>
          <bgColor rgb="FFFFD966"/>
        </patternFill>
      </fill>
    </dxf>
    <dxf>
      <font>
        <color rgb="FFFFFFFF"/>
      </font>
      <fill>
        <patternFill patternType="solid">
          <fgColor indexed="64"/>
          <bgColor rgb="FFBFBFBF"/>
        </patternFill>
      </fill>
    </dxf>
    <dxf>
      <font>
        <color rgb="FFFFFFFF"/>
      </font>
      <fill>
        <patternFill patternType="solid">
          <fgColor indexed="64"/>
          <bgColor rgb="FFF0612E"/>
        </patternFill>
      </fill>
    </dxf>
    <dxf>
      <font>
        <color rgb="FFFFFFFF"/>
      </font>
      <fill>
        <patternFill patternType="solid">
          <fgColor indexed="64"/>
          <bgColor rgb="FFF5A623"/>
        </patternFill>
      </fill>
    </dxf>
    <dxf>
      <font>
        <color rgb="FFFFFFFF"/>
      </font>
      <fill>
        <patternFill patternType="solid">
          <fgColor indexed="64"/>
          <bgColor rgb="FF9B30C9"/>
        </patternFill>
      </fill>
    </dxf>
    <dxf>
      <font>
        <color rgb="FFFFFFFF"/>
      </font>
      <fill>
        <patternFill patternType="solid">
          <fgColor indexed="64"/>
          <bgColor rgb="FF2E9BD6"/>
        </patternFill>
      </fill>
    </dxf>
    <dxf>
      <fill>
        <patternFill patternType="solid">
          <fgColor indexed="64"/>
          <bgColor rgb="FFFCE4D6"/>
        </patternFill>
      </fill>
    </dxf>
    <dxf>
      <font>
        <color rgb="FF7F5A2E"/>
      </font>
      <fill>
        <patternFill patternType="solid">
          <fgColor indexed="64"/>
          <bgColor rgb="FFFFD966"/>
        </patternFill>
      </fill>
    </dxf>
    <dxf>
      <font>
        <color rgb="FFFFFFFF"/>
      </font>
      <fill>
        <patternFill patternType="solid">
          <fgColor indexed="64"/>
          <bgColor rgb="FFBFBFBF"/>
        </patternFill>
      </fill>
    </dxf>
    <dxf>
      <font>
        <color rgb="FFFFFFFF"/>
      </font>
      <fill>
        <patternFill patternType="solid">
          <fgColor indexed="64"/>
          <bgColor rgb="FFF0612E"/>
        </patternFill>
      </fill>
    </dxf>
    <dxf>
      <font>
        <color rgb="FFFFFFFF"/>
      </font>
      <fill>
        <patternFill patternType="solid">
          <fgColor indexed="64"/>
          <bgColor rgb="FFF5A623"/>
        </patternFill>
      </fill>
    </dxf>
    <dxf>
      <font>
        <color rgb="FFFFFFFF"/>
      </font>
      <fill>
        <patternFill patternType="solid">
          <fgColor indexed="64"/>
          <bgColor rgb="FF9B30C9"/>
        </patternFill>
      </fill>
    </dxf>
    <dxf>
      <font>
        <color rgb="FFFFFFFF"/>
      </font>
      <fill>
        <patternFill patternType="solid">
          <fgColor indexed="64"/>
          <bgColor rgb="FF2E9BD6"/>
        </patternFill>
      </fill>
    </dxf>
    <dxf>
      <fill>
        <patternFill patternType="solid">
          <fgColor indexed="64"/>
          <bgColor rgb="FFFCE4D6"/>
        </patternFill>
      </fill>
    </dxf>
    <dxf>
      <font>
        <color rgb="FF7F5A2E"/>
      </font>
      <fill>
        <patternFill patternType="solid">
          <fgColor indexed="64"/>
          <bgColor rgb="FFFFD966"/>
        </patternFill>
      </fill>
    </dxf>
    <dxf>
      <font>
        <color rgb="FFFFFFFF"/>
      </font>
      <fill>
        <patternFill patternType="solid">
          <fgColor indexed="64"/>
          <bgColor rgb="FFBFBFBF"/>
        </patternFill>
      </fill>
    </dxf>
    <dxf>
      <font>
        <color rgb="FFFFFFFF"/>
      </font>
      <fill>
        <patternFill patternType="solid">
          <fgColor indexed="64"/>
          <bgColor rgb="FFF0612E"/>
        </patternFill>
      </fill>
    </dxf>
    <dxf>
      <font>
        <color rgb="FFFFFFFF"/>
      </font>
      <fill>
        <patternFill patternType="solid">
          <fgColor indexed="64"/>
          <bgColor rgb="FFF5A623"/>
        </patternFill>
      </fill>
    </dxf>
    <dxf>
      <font>
        <color rgb="FFFFFFFF"/>
      </font>
      <fill>
        <patternFill patternType="solid">
          <fgColor indexed="64"/>
          <bgColor rgb="FF9B30C9"/>
        </patternFill>
      </fill>
    </dxf>
    <dxf>
      <font>
        <color rgb="FFFFFFFF"/>
      </font>
      <fill>
        <patternFill patternType="solid">
          <fgColor indexed="64"/>
          <bgColor rgb="FF2E9BD6"/>
        </patternFill>
      </fill>
    </dxf>
    <dxf>
      <fill>
        <patternFill patternType="solid">
          <fgColor indexed="64"/>
          <bgColor rgb="FFFCE4D6"/>
        </patternFill>
      </fill>
    </dxf>
    <dxf>
      <font>
        <color rgb="FF7F5A2E"/>
      </font>
      <fill>
        <patternFill patternType="solid">
          <fgColor indexed="64"/>
          <bgColor rgb="FFFFD966"/>
        </patternFill>
      </fill>
    </dxf>
    <dxf>
      <font>
        <color rgb="FFFFFFFF"/>
      </font>
      <fill>
        <patternFill patternType="solid">
          <fgColor indexed="64"/>
          <bgColor rgb="FFBFBFBF"/>
        </patternFill>
      </fill>
    </dxf>
    <dxf>
      <font>
        <color rgb="FFFFFFFF"/>
      </font>
      <fill>
        <patternFill patternType="solid">
          <fgColor indexed="64"/>
          <bgColor rgb="FFF0612E"/>
        </patternFill>
      </fill>
    </dxf>
    <dxf>
      <font>
        <color rgb="FFFFFFFF"/>
      </font>
      <fill>
        <patternFill patternType="solid">
          <fgColor indexed="64"/>
          <bgColor rgb="FFF5A623"/>
        </patternFill>
      </fill>
    </dxf>
    <dxf>
      <font>
        <color rgb="FFFFFFFF"/>
      </font>
      <fill>
        <patternFill patternType="solid">
          <fgColor indexed="64"/>
          <bgColor rgb="FF9B30C9"/>
        </patternFill>
      </fill>
    </dxf>
    <dxf>
      <font>
        <color rgb="FFFFFFFF"/>
      </font>
      <fill>
        <patternFill patternType="solid">
          <fgColor indexed="64"/>
          <bgColor rgb="FF2E9BD6"/>
        </patternFill>
      </fill>
    </dxf>
    <dxf>
      <fill>
        <patternFill patternType="solid">
          <fgColor indexed="64"/>
          <bgColor rgb="FFFCE4D6"/>
        </patternFill>
      </fill>
    </dxf>
    <dxf>
      <font>
        <color rgb="FF7F5A2E"/>
      </font>
      <fill>
        <patternFill patternType="solid">
          <fgColor indexed="64"/>
          <bgColor rgb="FFFFD966"/>
        </patternFill>
      </fill>
    </dxf>
    <dxf>
      <font>
        <color rgb="FFFFFFFF"/>
      </font>
      <fill>
        <patternFill patternType="solid">
          <fgColor indexed="64"/>
          <bgColor rgb="FFBFBFBF"/>
        </patternFill>
      </fill>
    </dxf>
    <dxf>
      <font>
        <color rgb="FFFFFFFF"/>
      </font>
      <fill>
        <patternFill patternType="solid">
          <fgColor indexed="64"/>
          <bgColor rgb="FFF0612E"/>
        </patternFill>
      </fill>
    </dxf>
    <dxf>
      <font>
        <color rgb="FFFFFFFF"/>
      </font>
      <fill>
        <patternFill patternType="solid">
          <fgColor indexed="64"/>
          <bgColor rgb="FFF5A623"/>
        </patternFill>
      </fill>
    </dxf>
    <dxf>
      <font>
        <color rgb="FFFFFFFF"/>
      </font>
      <fill>
        <patternFill patternType="solid">
          <fgColor indexed="64"/>
          <bgColor rgb="FF9B30C9"/>
        </patternFill>
      </fill>
    </dxf>
    <dxf>
      <font>
        <color rgb="FFFFFFFF"/>
      </font>
      <fill>
        <patternFill patternType="solid">
          <fgColor indexed="64"/>
          <bgColor rgb="FF2E9BD6"/>
        </patternFill>
      </fill>
    </dxf>
    <dxf>
      <fill>
        <patternFill patternType="solid">
          <fgColor indexed="64"/>
          <bgColor rgb="FFFCE4D6"/>
        </patternFill>
      </fill>
    </dxf>
    <dxf>
      <font>
        <color rgb="FF7F5A2E"/>
      </font>
      <fill>
        <patternFill patternType="solid">
          <fgColor indexed="64"/>
          <bgColor rgb="FFFFD966"/>
        </patternFill>
      </fill>
    </dxf>
    <dxf>
      <font>
        <color rgb="FFFFFFFF"/>
      </font>
      <fill>
        <patternFill patternType="solid">
          <fgColor indexed="64"/>
          <bgColor rgb="FFBFBFBF"/>
        </patternFill>
      </fill>
    </dxf>
    <dxf>
      <font>
        <color rgb="FFFFFFFF"/>
      </font>
      <fill>
        <patternFill patternType="solid">
          <fgColor indexed="64"/>
          <bgColor rgb="FFF0612E"/>
        </patternFill>
      </fill>
    </dxf>
    <dxf>
      <font>
        <color rgb="FFFFFFFF"/>
      </font>
      <fill>
        <patternFill patternType="solid">
          <fgColor indexed="64"/>
          <bgColor rgb="FFF5A623"/>
        </patternFill>
      </fill>
    </dxf>
    <dxf>
      <font>
        <color rgb="FFFFFFFF"/>
      </font>
      <fill>
        <patternFill patternType="solid">
          <fgColor indexed="64"/>
          <bgColor rgb="FF9B30C9"/>
        </patternFill>
      </fill>
    </dxf>
    <dxf>
      <font>
        <color rgb="FFFFFFFF"/>
      </font>
      <fill>
        <patternFill patternType="solid">
          <fgColor indexed="64"/>
          <bgColor rgb="FF2E9BD6"/>
        </patternFill>
      </fill>
    </dxf>
    <dxf>
      <fill>
        <patternFill patternType="solid">
          <fgColor indexed="64"/>
          <bgColor rgb="FFFCE4D6"/>
        </patternFill>
      </fill>
    </dxf>
    <dxf>
      <font>
        <color rgb="FF7F5A2E"/>
      </font>
      <fill>
        <patternFill patternType="solid">
          <fgColor indexed="64"/>
          <bgColor rgb="FFFFD966"/>
        </patternFill>
      </fill>
    </dxf>
    <dxf>
      <font>
        <color rgb="FFFFFFFF"/>
      </font>
      <fill>
        <patternFill patternType="solid">
          <fgColor indexed="64"/>
          <bgColor rgb="FFBFBFBF"/>
        </patternFill>
      </fill>
    </dxf>
    <dxf>
      <font>
        <color rgb="FFFFFFFF"/>
      </font>
      <fill>
        <patternFill patternType="solid">
          <fgColor indexed="64"/>
          <bgColor rgb="FFF0612E"/>
        </patternFill>
      </fill>
    </dxf>
    <dxf>
      <font>
        <color rgb="FFFFFFFF"/>
      </font>
      <fill>
        <patternFill patternType="solid">
          <fgColor indexed="64"/>
          <bgColor rgb="FFF5A623"/>
        </patternFill>
      </fill>
    </dxf>
    <dxf>
      <font>
        <color rgb="FFFFFFFF"/>
      </font>
      <fill>
        <patternFill patternType="solid">
          <fgColor indexed="64"/>
          <bgColor rgb="FF9B30C9"/>
        </patternFill>
      </fill>
    </dxf>
    <dxf>
      <font>
        <color rgb="FFFFFFFF"/>
      </font>
      <fill>
        <patternFill patternType="solid">
          <fgColor indexed="64"/>
          <bgColor rgb="FF2E9BD6"/>
        </patternFill>
      </fill>
    </dxf>
    <dxf>
      <font>
        <color rgb="FF7F5A2E"/>
      </font>
      <fill>
        <patternFill patternType="solid">
          <fgColor indexed="64"/>
          <bgColor rgb="FFE8C39E"/>
        </patternFill>
      </fill>
    </dxf>
    <dxf>
      <font>
        <color rgb="FFFFFFFF"/>
      </font>
      <fill>
        <patternFill patternType="solid">
          <fgColor indexed="64"/>
          <bgColor rgb="FFBFBFBF"/>
        </patternFill>
      </fill>
    </dxf>
    <dxf>
      <font>
        <color rgb="FFFFFFFF"/>
      </font>
      <fill>
        <patternFill patternType="solid">
          <fgColor indexed="64"/>
          <bgColor rgb="FFF0612E"/>
        </patternFill>
      </fill>
    </dxf>
    <dxf>
      <font>
        <color rgb="FFFFFFFF"/>
      </font>
      <fill>
        <patternFill patternType="solid">
          <fgColor indexed="64"/>
          <bgColor rgb="FFF5A623"/>
        </patternFill>
      </fill>
    </dxf>
    <dxf>
      <font>
        <color rgb="FFFFFFFF"/>
      </font>
      <fill>
        <patternFill patternType="solid">
          <fgColor indexed="64"/>
          <bgColor rgb="FF9B30C9"/>
        </patternFill>
      </fill>
    </dxf>
    <dxf>
      <font>
        <color rgb="FFFFFFFF"/>
      </font>
      <fill>
        <patternFill patternType="solid">
          <fgColor indexed="64"/>
          <bgColor rgb="FF2E9BD6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7F7F7F"/>
      </font>
      <fill>
        <patternFill patternType="solid">
          <fgColor indexed="64"/>
          <bgColor rgb="FFD9D9D9"/>
        </patternFill>
      </fill>
    </dxf>
    <dxf>
      <font>
        <color rgb="FF1F4E78"/>
      </font>
      <fill>
        <patternFill patternType="solid">
          <fgColor indexed="64"/>
          <bgColor rgb="FFBDD7E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296334</xdr:colOff>
      <xdr:row>0</xdr:row>
      <xdr:rowOff>56726</xdr:rowOff>
    </xdr:from>
    <xdr:to>
      <xdr:col>1</xdr:col>
      <xdr:colOff>935355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E76781-40DB-45F7-B618-EBB34FE8406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8926" b="28099"/>
        <a:stretch>
          <a:fillRect/>
        </a:stretch>
      </xdr:blipFill>
      <xdr:spPr>
        <a:xfrm>
          <a:off x="294429" y="60536"/>
          <a:ext cx="2555451" cy="109198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296334</xdr:colOff>
      <xdr:row>0</xdr:row>
      <xdr:rowOff>56726</xdr:rowOff>
    </xdr:from>
    <xdr:to>
      <xdr:col>1</xdr:col>
      <xdr:colOff>935355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1224C0-E13B-4998-AE46-4F28F9ED32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8926" b="28099"/>
        <a:stretch>
          <a:fillRect/>
        </a:stretch>
      </xdr:blipFill>
      <xdr:spPr>
        <a:xfrm>
          <a:off x="294429" y="60536"/>
          <a:ext cx="2555451" cy="109198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296334</xdr:colOff>
      <xdr:row>0</xdr:row>
      <xdr:rowOff>56726</xdr:rowOff>
    </xdr:from>
    <xdr:to>
      <xdr:col>1</xdr:col>
      <xdr:colOff>935355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3A7A71-2912-4C39-9A92-F6496822B8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8926" b="28099"/>
        <a:stretch>
          <a:fillRect/>
        </a:stretch>
      </xdr:blipFill>
      <xdr:spPr>
        <a:xfrm>
          <a:off x="294429" y="60536"/>
          <a:ext cx="2555451" cy="109198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296334</xdr:colOff>
      <xdr:row>0</xdr:row>
      <xdr:rowOff>56726</xdr:rowOff>
    </xdr:from>
    <xdr:to>
      <xdr:col>1</xdr:col>
      <xdr:colOff>935355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FFB8C3-7791-49C0-B3DE-4AC55865783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8926" b="28099"/>
        <a:stretch>
          <a:fillRect/>
        </a:stretch>
      </xdr:blipFill>
      <xdr:spPr>
        <a:xfrm>
          <a:off x="294429" y="60536"/>
          <a:ext cx="2555451" cy="109198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296334</xdr:colOff>
      <xdr:row>0</xdr:row>
      <xdr:rowOff>56726</xdr:rowOff>
    </xdr:from>
    <xdr:to>
      <xdr:col>1</xdr:col>
      <xdr:colOff>946785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FB6E18-AB67-B44F-3026-772C7918EE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8926" b="28099"/>
        <a:stretch>
          <a:fillRect/>
        </a:stretch>
      </xdr:blipFill>
      <xdr:spPr>
        <a:xfrm>
          <a:off x="296334" y="56726"/>
          <a:ext cx="2555451" cy="109685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296334</xdr:colOff>
      <xdr:row>0</xdr:row>
      <xdr:rowOff>56726</xdr:rowOff>
    </xdr:from>
    <xdr:to>
      <xdr:col>1</xdr:col>
      <xdr:colOff>935355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9E886C-4EDC-4049-BCD9-94CB29CE27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8926" b="28099"/>
        <a:stretch>
          <a:fillRect/>
        </a:stretch>
      </xdr:blipFill>
      <xdr:spPr>
        <a:xfrm>
          <a:off x="294429" y="60536"/>
          <a:ext cx="2555451" cy="109198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296334</xdr:colOff>
      <xdr:row>0</xdr:row>
      <xdr:rowOff>56726</xdr:rowOff>
    </xdr:from>
    <xdr:to>
      <xdr:col>1</xdr:col>
      <xdr:colOff>935355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0435BF-BAE7-4352-A1B9-571DCA4710A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8926" b="28099"/>
        <a:stretch>
          <a:fillRect/>
        </a:stretch>
      </xdr:blipFill>
      <xdr:spPr>
        <a:xfrm>
          <a:off x="294429" y="60536"/>
          <a:ext cx="2555451" cy="109198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296334</xdr:colOff>
      <xdr:row>0</xdr:row>
      <xdr:rowOff>56726</xdr:rowOff>
    </xdr:from>
    <xdr:to>
      <xdr:col>1</xdr:col>
      <xdr:colOff>935355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B4D2E5-B0B6-442E-8657-74BE9ADB43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8926" b="28099"/>
        <a:stretch>
          <a:fillRect/>
        </a:stretch>
      </xdr:blipFill>
      <xdr:spPr>
        <a:xfrm>
          <a:off x="294429" y="60536"/>
          <a:ext cx="2555451" cy="109198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296334</xdr:colOff>
      <xdr:row>0</xdr:row>
      <xdr:rowOff>56726</xdr:rowOff>
    </xdr:from>
    <xdr:to>
      <xdr:col>1</xdr:col>
      <xdr:colOff>935355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D9039B-7367-4CD7-8AFF-CFD3C03821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8926" b="28099"/>
        <a:stretch>
          <a:fillRect/>
        </a:stretch>
      </xdr:blipFill>
      <xdr:spPr>
        <a:xfrm>
          <a:off x="294429" y="60536"/>
          <a:ext cx="2555451" cy="109198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296334</xdr:colOff>
      <xdr:row>0</xdr:row>
      <xdr:rowOff>56726</xdr:rowOff>
    </xdr:from>
    <xdr:to>
      <xdr:col>1</xdr:col>
      <xdr:colOff>935355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F4278F-748B-48CA-AE66-27DE7CE514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8926" b="28099"/>
        <a:stretch>
          <a:fillRect/>
        </a:stretch>
      </xdr:blipFill>
      <xdr:spPr>
        <a:xfrm>
          <a:off x="294429" y="60536"/>
          <a:ext cx="2555451" cy="109198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296334</xdr:colOff>
      <xdr:row>0</xdr:row>
      <xdr:rowOff>56726</xdr:rowOff>
    </xdr:from>
    <xdr:to>
      <xdr:col>1</xdr:col>
      <xdr:colOff>935355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2838E2-F560-4142-A954-780D730981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8926" b="28099"/>
        <a:stretch>
          <a:fillRect/>
        </a:stretch>
      </xdr:blipFill>
      <xdr:spPr>
        <a:xfrm>
          <a:off x="294429" y="60536"/>
          <a:ext cx="2555451" cy="1091989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296334</xdr:colOff>
      <xdr:row>0</xdr:row>
      <xdr:rowOff>56726</xdr:rowOff>
    </xdr:from>
    <xdr:to>
      <xdr:col>1</xdr:col>
      <xdr:colOff>935355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0846FB-6DB5-41B2-B481-E0EA938315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8926" b="28099"/>
        <a:stretch>
          <a:fillRect/>
        </a:stretch>
      </xdr:blipFill>
      <xdr:spPr>
        <a:xfrm>
          <a:off x="294429" y="60536"/>
          <a:ext cx="2555451" cy="109198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91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2DA9BE2-D1E6-4906-BB7B-CC4F68B5814A}">
  <we:reference id="wa200010725" version="1.0.0.1" store="en-US" storeType="OMEX"/>
  <we:alternateReferences>
    <we:reference id="WA200010725" version="1.0.0.1" store="WA200010725" storeType="OMEX"/>
  </we:alternateReferences>
  <we:properties>
    <we:property name="claude.fileId" value="&quot;6d1fc7e4-b3c0-4ed2-88d2-666c8bd5a15d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BF6F0-7414-43A0-B9C3-F843A7B75605}">
  <sheetPr>
    <pageSetUpPr fitToPage="1"/>
  </sheetPr>
  <dimension ref="A1:AG51"/>
  <sheetViews>
    <sheetView showGridLines="0" zoomScale="90" zoomScaleNormal="90" workbookViewId="0">
      <pane ySplit="3" topLeftCell="A4" activePane="bottomLeft" state="frozen"/>
      <selection pane="bottomLeft" activeCell="H51" sqref="H51"/>
    </sheetView>
  </sheetViews>
  <sheetFormatPr defaultRowHeight="14.4" x14ac:dyDescent="0.3"/>
  <cols>
    <col min="1" max="1" width="27.77734375" customWidth="1"/>
    <col min="2" max="2" width="22.21875" customWidth="1"/>
    <col min="3" max="33" width="7.77734375" customWidth="1"/>
    <col min="34" max="38" width="5.5546875" customWidth="1"/>
  </cols>
  <sheetData>
    <row r="1" spans="1:33" ht="58.8" customHeight="1" x14ac:dyDescent="0.3"/>
    <row r="2" spans="1:33" ht="18" x14ac:dyDescent="0.35">
      <c r="A2" s="1"/>
      <c r="C2" s="33" t="s">
        <v>3</v>
      </c>
      <c r="D2" s="34"/>
      <c r="E2" s="2" t="s">
        <v>4</v>
      </c>
      <c r="F2" s="33" t="s">
        <v>6</v>
      </c>
      <c r="G2" s="33"/>
      <c r="H2" s="3" t="s">
        <v>5</v>
      </c>
      <c r="I2" s="33" t="s">
        <v>6</v>
      </c>
      <c r="J2" s="33"/>
      <c r="K2" s="4" t="s">
        <v>0</v>
      </c>
      <c r="L2" s="33" t="s">
        <v>7</v>
      </c>
      <c r="M2" s="33"/>
      <c r="N2" s="5" t="s">
        <v>8</v>
      </c>
      <c r="O2" s="33" t="s">
        <v>9</v>
      </c>
      <c r="P2" s="33"/>
      <c r="Q2" s="6" t="s">
        <v>10</v>
      </c>
      <c r="R2" s="33" t="s">
        <v>11</v>
      </c>
      <c r="S2" s="33"/>
      <c r="T2" s="34"/>
      <c r="U2" s="34"/>
      <c r="V2" s="30" t="s">
        <v>1</v>
      </c>
    </row>
    <row r="4" spans="1:33" ht="19.95" customHeight="1" x14ac:dyDescent="0.3">
      <c r="A4" s="8" t="s">
        <v>49</v>
      </c>
      <c r="B4" s="8"/>
      <c r="C4" s="10">
        <v>1</v>
      </c>
      <c r="D4" s="10">
        <v>2</v>
      </c>
      <c r="E4" s="10">
        <v>3</v>
      </c>
      <c r="F4" s="9">
        <v>4</v>
      </c>
      <c r="G4" s="10">
        <v>5</v>
      </c>
      <c r="H4" s="10">
        <v>6</v>
      </c>
      <c r="I4" s="10">
        <v>7</v>
      </c>
      <c r="J4" s="10">
        <v>8</v>
      </c>
      <c r="K4" s="10">
        <v>9</v>
      </c>
      <c r="L4" s="10">
        <v>10</v>
      </c>
      <c r="M4" s="9">
        <v>11</v>
      </c>
      <c r="N4" s="10">
        <v>12</v>
      </c>
      <c r="O4" s="10">
        <v>13</v>
      </c>
      <c r="P4" s="10">
        <v>14</v>
      </c>
      <c r="Q4" s="10">
        <v>15</v>
      </c>
      <c r="R4" s="10">
        <v>16</v>
      </c>
      <c r="S4" s="10">
        <v>17</v>
      </c>
      <c r="T4" s="9">
        <v>18</v>
      </c>
      <c r="U4" s="10">
        <v>19</v>
      </c>
      <c r="V4" s="10">
        <v>20</v>
      </c>
      <c r="W4" s="10">
        <v>21</v>
      </c>
      <c r="X4" s="10">
        <v>22</v>
      </c>
      <c r="Y4" s="10">
        <v>23</v>
      </c>
      <c r="Z4" s="10">
        <v>24</v>
      </c>
      <c r="AA4" s="9">
        <v>25</v>
      </c>
      <c r="AB4" s="10">
        <v>26</v>
      </c>
      <c r="AC4" s="10">
        <v>27</v>
      </c>
      <c r="AD4" s="10">
        <v>28</v>
      </c>
      <c r="AE4" s="10">
        <v>29</v>
      </c>
      <c r="AF4" s="10">
        <v>30</v>
      </c>
      <c r="AG4" s="10">
        <v>31</v>
      </c>
    </row>
    <row r="5" spans="1:33" ht="19.95" customHeight="1" x14ac:dyDescent="0.3">
      <c r="A5" s="32" t="s">
        <v>12</v>
      </c>
      <c r="B5" s="31" t="s">
        <v>13</v>
      </c>
      <c r="C5" s="7" t="s">
        <v>4</v>
      </c>
      <c r="D5" s="7" t="s">
        <v>4</v>
      </c>
      <c r="E5" s="7" t="s">
        <v>4</v>
      </c>
      <c r="F5" s="7" t="s">
        <v>4</v>
      </c>
      <c r="G5" s="7" t="s">
        <v>4</v>
      </c>
      <c r="H5" s="7" t="s">
        <v>4</v>
      </c>
      <c r="I5" s="7" t="s">
        <v>4</v>
      </c>
      <c r="J5" s="7" t="s">
        <v>4</v>
      </c>
      <c r="K5" s="7" t="s">
        <v>4</v>
      </c>
      <c r="L5" s="7" t="s">
        <v>4</v>
      </c>
      <c r="M5" s="7" t="s">
        <v>4</v>
      </c>
      <c r="N5" s="7" t="s">
        <v>4</v>
      </c>
      <c r="O5" s="7" t="s">
        <v>4</v>
      </c>
      <c r="P5" s="7" t="s">
        <v>4</v>
      </c>
      <c r="Q5" s="7" t="s">
        <v>4</v>
      </c>
      <c r="R5" s="7" t="s">
        <v>4</v>
      </c>
      <c r="S5" s="7" t="s">
        <v>4</v>
      </c>
      <c r="T5" s="7" t="s">
        <v>4</v>
      </c>
      <c r="U5" s="7" t="s">
        <v>4</v>
      </c>
      <c r="V5" s="7" t="s">
        <v>4</v>
      </c>
      <c r="W5" s="7" t="s">
        <v>4</v>
      </c>
      <c r="X5" s="7" t="s">
        <v>4</v>
      </c>
      <c r="Y5" s="7" t="s">
        <v>4</v>
      </c>
      <c r="Z5" s="7" t="s">
        <v>4</v>
      </c>
      <c r="AA5" s="7" t="s">
        <v>4</v>
      </c>
      <c r="AB5" s="7" t="s">
        <v>4</v>
      </c>
      <c r="AC5" s="7" t="s">
        <v>4</v>
      </c>
      <c r="AD5" s="7" t="s">
        <v>4</v>
      </c>
      <c r="AE5" s="7" t="s">
        <v>4</v>
      </c>
      <c r="AF5" s="7" t="s">
        <v>4</v>
      </c>
      <c r="AG5" s="7" t="s">
        <v>4</v>
      </c>
    </row>
    <row r="6" spans="1:33" ht="19.95" customHeight="1" x14ac:dyDescent="0.3">
      <c r="A6" s="32"/>
      <c r="B6" s="31" t="s">
        <v>38</v>
      </c>
      <c r="C6" s="11" t="s">
        <v>60</v>
      </c>
      <c r="D6" s="11" t="s">
        <v>40</v>
      </c>
      <c r="E6" s="11" t="s">
        <v>40</v>
      </c>
      <c r="F6" s="11" t="s">
        <v>40</v>
      </c>
      <c r="G6" s="11" t="s">
        <v>40</v>
      </c>
      <c r="H6" s="11" t="s">
        <v>40</v>
      </c>
      <c r="I6" s="11" t="s">
        <v>40</v>
      </c>
      <c r="J6" s="11" t="s">
        <v>40</v>
      </c>
      <c r="K6" s="11" t="s">
        <v>40</v>
      </c>
      <c r="L6" s="11" t="s">
        <v>40</v>
      </c>
      <c r="M6" s="11" t="s">
        <v>40</v>
      </c>
      <c r="N6" s="11" t="s">
        <v>40</v>
      </c>
      <c r="O6" s="11" t="s">
        <v>40</v>
      </c>
      <c r="P6" s="11" t="s">
        <v>40</v>
      </c>
      <c r="Q6" s="11" t="s">
        <v>40</v>
      </c>
      <c r="R6" s="11" t="s">
        <v>40</v>
      </c>
      <c r="S6" s="11" t="s">
        <v>40</v>
      </c>
      <c r="T6" s="11" t="s">
        <v>40</v>
      </c>
      <c r="U6" s="11" t="s">
        <v>40</v>
      </c>
      <c r="V6" s="11" t="s">
        <v>40</v>
      </c>
      <c r="W6" s="11" t="s">
        <v>40</v>
      </c>
      <c r="X6" s="11" t="s">
        <v>60</v>
      </c>
      <c r="Y6" s="11" t="s">
        <v>40</v>
      </c>
      <c r="Z6" s="11" t="s">
        <v>40</v>
      </c>
      <c r="AA6" s="11" t="s">
        <v>40</v>
      </c>
      <c r="AB6" s="11" t="s">
        <v>40</v>
      </c>
      <c r="AC6" s="11" t="s">
        <v>40</v>
      </c>
      <c r="AD6" s="11" t="s">
        <v>40</v>
      </c>
      <c r="AE6" s="11" t="s">
        <v>40</v>
      </c>
      <c r="AF6" s="11" t="s">
        <v>40</v>
      </c>
      <c r="AG6" s="11" t="s">
        <v>40</v>
      </c>
    </row>
    <row r="7" spans="1:33" ht="19.95" customHeight="1" x14ac:dyDescent="0.3">
      <c r="A7" s="32"/>
      <c r="B7" s="31" t="s">
        <v>39</v>
      </c>
      <c r="C7" s="11" t="s">
        <v>43</v>
      </c>
      <c r="D7" s="11" t="s">
        <v>43</v>
      </c>
      <c r="E7" s="11" t="s">
        <v>44</v>
      </c>
      <c r="F7" s="11" t="s">
        <v>44</v>
      </c>
      <c r="G7" s="11" t="s">
        <v>45</v>
      </c>
      <c r="H7" s="11" t="s">
        <v>44</v>
      </c>
      <c r="I7" s="11" t="s">
        <v>45</v>
      </c>
      <c r="J7" s="11" t="s">
        <v>43</v>
      </c>
      <c r="K7" s="11" t="s">
        <v>44</v>
      </c>
      <c r="L7" s="11" t="s">
        <v>43</v>
      </c>
      <c r="M7" s="11" t="s">
        <v>44</v>
      </c>
      <c r="N7" s="11" t="s">
        <v>45</v>
      </c>
      <c r="O7" s="11" t="s">
        <v>43</v>
      </c>
      <c r="P7" s="11" t="s">
        <v>44</v>
      </c>
      <c r="Q7" s="11" t="s">
        <v>45</v>
      </c>
      <c r="R7" s="11" t="s">
        <v>44</v>
      </c>
      <c r="S7" s="11" t="s">
        <v>44</v>
      </c>
      <c r="T7" s="11" t="s">
        <v>45</v>
      </c>
      <c r="U7" s="11" t="s">
        <v>45</v>
      </c>
      <c r="V7" s="11" t="s">
        <v>43</v>
      </c>
      <c r="W7" s="11" t="s">
        <v>44</v>
      </c>
      <c r="X7" s="11" t="s">
        <v>43</v>
      </c>
      <c r="Y7" s="11" t="s">
        <v>44</v>
      </c>
      <c r="Z7" s="11" t="s">
        <v>43</v>
      </c>
      <c r="AA7" s="11" t="s">
        <v>44</v>
      </c>
      <c r="AB7" s="11" t="s">
        <v>45</v>
      </c>
      <c r="AC7" s="11" t="s">
        <v>45</v>
      </c>
      <c r="AD7" s="11" t="s">
        <v>44</v>
      </c>
      <c r="AE7" s="11" t="s">
        <v>44</v>
      </c>
      <c r="AF7" s="11" t="s">
        <v>44</v>
      </c>
      <c r="AG7" s="11" t="s">
        <v>44</v>
      </c>
    </row>
    <row r="8" spans="1:33" ht="19.95" customHeight="1" x14ac:dyDescent="0.3">
      <c r="A8" s="32"/>
      <c r="B8" s="31" t="s">
        <v>2</v>
      </c>
      <c r="C8" s="12"/>
      <c r="D8" s="12">
        <v>2</v>
      </c>
      <c r="E8" s="12">
        <v>1</v>
      </c>
      <c r="F8" s="12">
        <v>1</v>
      </c>
      <c r="G8" s="12"/>
      <c r="H8" s="12">
        <v>1</v>
      </c>
      <c r="I8" s="12"/>
      <c r="J8" s="12">
        <v>2</v>
      </c>
      <c r="K8" s="12">
        <v>1</v>
      </c>
      <c r="L8" s="12">
        <v>2</v>
      </c>
      <c r="M8" s="12">
        <v>1</v>
      </c>
      <c r="N8" s="12"/>
      <c r="O8" s="12">
        <v>2</v>
      </c>
      <c r="P8" s="12">
        <v>1</v>
      </c>
      <c r="Q8" s="12"/>
      <c r="R8" s="12">
        <v>1</v>
      </c>
      <c r="S8" s="12">
        <v>1</v>
      </c>
      <c r="T8" s="12"/>
      <c r="U8" s="12"/>
      <c r="V8" s="12">
        <v>2</v>
      </c>
      <c r="W8" s="12">
        <v>1</v>
      </c>
      <c r="X8" s="12"/>
      <c r="Y8" s="12">
        <v>1</v>
      </c>
      <c r="Z8" s="12">
        <v>2</v>
      </c>
      <c r="AA8" s="12">
        <v>1</v>
      </c>
      <c r="AB8" s="12"/>
      <c r="AC8" s="12"/>
      <c r="AD8" s="12">
        <v>1</v>
      </c>
      <c r="AE8" s="12">
        <v>1</v>
      </c>
      <c r="AF8" s="12">
        <v>1</v>
      </c>
      <c r="AG8" s="12">
        <v>1</v>
      </c>
    </row>
    <row r="9" spans="1:33" x14ac:dyDescent="0.3">
      <c r="A9" s="42"/>
      <c r="B9" s="43" t="s">
        <v>14</v>
      </c>
      <c r="C9" s="44" t="s">
        <v>3</v>
      </c>
      <c r="D9" s="45"/>
      <c r="E9" s="46">
        <f>COUNTIF($C$5:$AG$5,"✓")</f>
        <v>31</v>
      </c>
      <c r="F9" s="44" t="s">
        <v>15</v>
      </c>
      <c r="G9" s="45"/>
      <c r="H9" s="46">
        <f>COUNTIF($C$5:$AG$5,"S")</f>
        <v>0</v>
      </c>
      <c r="I9" s="44" t="s">
        <v>16</v>
      </c>
      <c r="J9" s="45"/>
      <c r="K9" s="46">
        <f>COUNTIF($C$5:$AG$5,"P")</f>
        <v>0</v>
      </c>
      <c r="L9" s="44" t="s">
        <v>7</v>
      </c>
      <c r="M9" s="45"/>
      <c r="N9" s="46">
        <f>COUNTIF($C$5:$AG$5,"V")</f>
        <v>0</v>
      </c>
      <c r="O9" s="44" t="s">
        <v>9</v>
      </c>
      <c r="P9" s="45"/>
      <c r="Q9" s="46">
        <f>COUNTIF($C$5:$AG$5,"X")</f>
        <v>0</v>
      </c>
      <c r="R9" s="44" t="s">
        <v>17</v>
      </c>
      <c r="S9" s="45"/>
      <c r="T9" s="46">
        <f>COUNTIF($C$5:$AG$5,"H")</f>
        <v>0</v>
      </c>
      <c r="U9" s="44" t="s">
        <v>18</v>
      </c>
      <c r="V9" s="45"/>
      <c r="W9" s="47">
        <f>SUM(C8:AG8)</f>
        <v>27</v>
      </c>
      <c r="X9" s="42"/>
      <c r="Y9" s="42"/>
      <c r="Z9" s="42"/>
      <c r="AA9" s="42"/>
      <c r="AB9" s="42"/>
      <c r="AC9" s="42"/>
      <c r="AD9" s="42"/>
      <c r="AE9" s="42"/>
      <c r="AF9" s="42"/>
      <c r="AG9" s="42"/>
    </row>
    <row r="11" spans="1:33" x14ac:dyDescent="0.3">
      <c r="A11" s="15" t="s">
        <v>19</v>
      </c>
      <c r="B11" s="13"/>
      <c r="C11" s="13"/>
      <c r="D11" s="13"/>
      <c r="E11" s="13"/>
      <c r="I11" s="35" t="s">
        <v>24</v>
      </c>
      <c r="J11" s="36"/>
      <c r="K11" s="36"/>
      <c r="M11" s="35" t="s">
        <v>31</v>
      </c>
      <c r="N11" s="35"/>
      <c r="O11" s="36"/>
      <c r="P11" s="36"/>
      <c r="Q11" s="36"/>
    </row>
    <row r="12" spans="1:33" x14ac:dyDescent="0.3">
      <c r="A12" s="13" t="s">
        <v>20</v>
      </c>
      <c r="B12" s="13"/>
      <c r="C12" s="13"/>
      <c r="D12" s="13"/>
      <c r="E12" s="16">
        <v>170</v>
      </c>
      <c r="I12" s="35" t="s">
        <v>25</v>
      </c>
      <c r="J12" s="35"/>
      <c r="K12" s="19" t="s">
        <v>48</v>
      </c>
      <c r="M12" s="26" t="s">
        <v>32</v>
      </c>
      <c r="N12" s="26"/>
      <c r="O12" s="22">
        <f>E9</f>
        <v>31</v>
      </c>
      <c r="P12" s="23">
        <f>E14</f>
        <v>6.5384615384615383</v>
      </c>
      <c r="Q12" s="23">
        <f>O12*P12</f>
        <v>202.69230769230768</v>
      </c>
    </row>
    <row r="13" spans="1:33" x14ac:dyDescent="0.3">
      <c r="A13" s="13" t="s">
        <v>21</v>
      </c>
      <c r="B13" s="13"/>
      <c r="C13" s="13"/>
      <c r="D13" s="13"/>
      <c r="E13" s="17">
        <v>26</v>
      </c>
      <c r="I13" s="13" t="s">
        <v>26</v>
      </c>
      <c r="J13" s="13"/>
      <c r="K13" s="20">
        <f>E9</f>
        <v>31</v>
      </c>
      <c r="M13" s="26" t="s">
        <v>33</v>
      </c>
      <c r="N13" s="26"/>
      <c r="O13" s="24">
        <f>W9</f>
        <v>27</v>
      </c>
      <c r="P13" s="23">
        <f>E15</f>
        <v>0.82</v>
      </c>
      <c r="Q13" s="23">
        <f>O13*P13</f>
        <v>22.139999999999997</v>
      </c>
    </row>
    <row r="14" spans="1:33" x14ac:dyDescent="0.3">
      <c r="A14" s="13" t="s">
        <v>22</v>
      </c>
      <c r="B14" s="13"/>
      <c r="C14" s="13"/>
      <c r="D14" s="13"/>
      <c r="E14" s="18">
        <f>E12/E13</f>
        <v>6.5384615384615383</v>
      </c>
      <c r="I14" s="13" t="s">
        <v>46</v>
      </c>
      <c r="J14" s="13"/>
      <c r="K14" s="21">
        <f>W9</f>
        <v>27</v>
      </c>
      <c r="M14" s="39" t="s">
        <v>34</v>
      </c>
      <c r="N14" s="25"/>
      <c r="O14" s="13"/>
      <c r="P14" s="13"/>
      <c r="Q14" s="27">
        <v>0</v>
      </c>
    </row>
    <row r="15" spans="1:33" ht="15" thickBot="1" x14ac:dyDescent="0.35">
      <c r="A15" s="13" t="s">
        <v>23</v>
      </c>
      <c r="B15" s="13"/>
      <c r="C15" s="13"/>
      <c r="D15" s="13"/>
      <c r="E15" s="16">
        <v>0.82</v>
      </c>
      <c r="I15" s="13" t="s">
        <v>27</v>
      </c>
      <c r="J15" s="13"/>
      <c r="K15" s="20">
        <f>H9</f>
        <v>0</v>
      </c>
      <c r="M15" s="40" t="s">
        <v>35</v>
      </c>
      <c r="N15" s="41"/>
      <c r="O15" s="14"/>
      <c r="P15" s="14"/>
      <c r="Q15" s="28">
        <v>0</v>
      </c>
    </row>
    <row r="16" spans="1:33" ht="15" thickTop="1" x14ac:dyDescent="0.3">
      <c r="I16" s="13" t="s">
        <v>28</v>
      </c>
      <c r="J16" s="13"/>
      <c r="K16" s="20">
        <f>K9</f>
        <v>0</v>
      </c>
      <c r="M16" s="37" t="s">
        <v>36</v>
      </c>
      <c r="N16" s="37"/>
      <c r="O16" s="38"/>
      <c r="P16" s="38"/>
      <c r="Q16" s="29">
        <f>Q12+Q13-Q14+Q15</f>
        <v>224.83230769230767</v>
      </c>
    </row>
    <row r="17" spans="9:11" x14ac:dyDescent="0.3">
      <c r="I17" s="13" t="s">
        <v>29</v>
      </c>
      <c r="J17" s="13"/>
      <c r="K17" s="20">
        <f>N9</f>
        <v>0</v>
      </c>
    </row>
    <row r="18" spans="9:11" x14ac:dyDescent="0.3">
      <c r="I18" s="13" t="s">
        <v>30</v>
      </c>
      <c r="J18" s="13"/>
      <c r="K18" s="20">
        <f>Q9</f>
        <v>0</v>
      </c>
    </row>
    <row r="51" spans="8:8" x14ac:dyDescent="0.3">
      <c r="H51" t="s">
        <v>59</v>
      </c>
    </row>
  </sheetData>
  <mergeCells count="2">
    <mergeCell ref="A4:B4"/>
    <mergeCell ref="A5:A8"/>
  </mergeCells>
  <conditionalFormatting sqref="C5:AG5">
    <cfRule type="cellIs" dxfId="76" priority="1" operator="equal">
      <formula>"✓"</formula>
    </cfRule>
  </conditionalFormatting>
  <conditionalFormatting sqref="C5:AG5">
    <cfRule type="cellIs" dxfId="75" priority="2" operator="equal">
      <formula>"S"</formula>
    </cfRule>
  </conditionalFormatting>
  <conditionalFormatting sqref="C5:AG5">
    <cfRule type="cellIs" dxfId="74" priority="3" operator="equal">
      <formula>"P"</formula>
    </cfRule>
  </conditionalFormatting>
  <conditionalFormatting sqref="C5:AG5">
    <cfRule type="cellIs" dxfId="73" priority="4" operator="equal">
      <formula>"V"</formula>
    </cfRule>
  </conditionalFormatting>
  <conditionalFormatting sqref="C5:AG5">
    <cfRule type="cellIs" dxfId="72" priority="5" operator="equal">
      <formula>"X"</formula>
    </cfRule>
  </conditionalFormatting>
  <conditionalFormatting sqref="C5:AG5">
    <cfRule type="cellIs" dxfId="71" priority="6" operator="equal">
      <formula>"H"</formula>
    </cfRule>
  </conditionalFormatting>
  <conditionalFormatting sqref="C8:AF8">
    <cfRule type="cellIs" dxfId="70" priority="7" operator="greaterThan">
      <formula>0</formula>
    </cfRule>
  </conditionalFormatting>
  <dataValidations count="1">
    <dataValidation type="list" allowBlank="1" showInputMessage="1" showErrorMessage="1" sqref="C5:AG5" xr:uid="{82D37345-1472-4890-873A-5951700995A0}">
      <formula1>"✓,S,P,V,X,H"</formula1>
    </dataValidation>
  </dataValidations>
  <printOptions horizontalCentered="1"/>
  <pageMargins left="0.39370078740157483" right="0.39370078740157483" top="0.43307086614173229" bottom="0.74803149606299213" header="0.31496062992125984" footer="0.31496062992125984"/>
  <pageSetup paperSize="9" scale="47" orientation="landscape" horizontalDpi="1200" verticalDpi="12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D1977-BD94-4E56-AC0A-AF5D803C4D6F}">
  <sheetPr>
    <pageSetUpPr fitToPage="1"/>
  </sheetPr>
  <dimension ref="A1:AG18"/>
  <sheetViews>
    <sheetView showGridLines="0" zoomScale="90" zoomScaleNormal="90" workbookViewId="0">
      <pane ySplit="3" topLeftCell="A4" activePane="bottomLeft" state="frozen"/>
      <selection pane="bottomLeft" activeCell="R26" sqref="R26"/>
    </sheetView>
  </sheetViews>
  <sheetFormatPr defaultRowHeight="14.4" x14ac:dyDescent="0.3"/>
  <cols>
    <col min="1" max="1" width="27.77734375" customWidth="1"/>
    <col min="2" max="2" width="22.21875" customWidth="1"/>
    <col min="3" max="33" width="7.77734375" customWidth="1"/>
    <col min="34" max="38" width="5.5546875" customWidth="1"/>
  </cols>
  <sheetData>
    <row r="1" spans="1:33" ht="58.8" customHeight="1" x14ac:dyDescent="0.3"/>
    <row r="2" spans="1:33" ht="18" x14ac:dyDescent="0.35">
      <c r="A2" s="1"/>
      <c r="C2" s="33" t="s">
        <v>3</v>
      </c>
      <c r="D2" s="34"/>
      <c r="E2" s="2" t="s">
        <v>4</v>
      </c>
      <c r="F2" s="33" t="s">
        <v>6</v>
      </c>
      <c r="G2" s="33"/>
      <c r="H2" s="3" t="s">
        <v>5</v>
      </c>
      <c r="I2" s="33" t="s">
        <v>6</v>
      </c>
      <c r="J2" s="33"/>
      <c r="K2" s="4" t="s">
        <v>0</v>
      </c>
      <c r="L2" s="33" t="s">
        <v>7</v>
      </c>
      <c r="M2" s="33"/>
      <c r="N2" s="5" t="s">
        <v>8</v>
      </c>
      <c r="O2" s="33" t="s">
        <v>9</v>
      </c>
      <c r="P2" s="33"/>
      <c r="Q2" s="6" t="s">
        <v>10</v>
      </c>
      <c r="R2" s="33" t="s">
        <v>11</v>
      </c>
      <c r="S2" s="33"/>
      <c r="T2" s="34"/>
      <c r="U2" s="34"/>
      <c r="V2" s="30" t="s">
        <v>1</v>
      </c>
    </row>
    <row r="4" spans="1:33" ht="19.95" customHeight="1" x14ac:dyDescent="0.3">
      <c r="A4" s="8" t="s">
        <v>50</v>
      </c>
      <c r="B4" s="8"/>
      <c r="C4" s="9">
        <v>1</v>
      </c>
      <c r="D4" s="10">
        <v>2</v>
      </c>
      <c r="E4" s="10">
        <v>3</v>
      </c>
      <c r="F4" s="10">
        <v>4</v>
      </c>
      <c r="G4" s="10">
        <v>5</v>
      </c>
      <c r="H4" s="10">
        <v>6</v>
      </c>
      <c r="I4" s="10">
        <v>7</v>
      </c>
      <c r="J4" s="9">
        <v>8</v>
      </c>
      <c r="K4" s="10">
        <v>9</v>
      </c>
      <c r="L4" s="10">
        <v>10</v>
      </c>
      <c r="M4" s="10">
        <v>11</v>
      </c>
      <c r="N4" s="10">
        <v>12</v>
      </c>
      <c r="O4" s="10">
        <v>13</v>
      </c>
      <c r="P4" s="10">
        <v>14</v>
      </c>
      <c r="Q4" s="9">
        <v>15</v>
      </c>
      <c r="R4" s="10">
        <v>16</v>
      </c>
      <c r="S4" s="10">
        <v>17</v>
      </c>
      <c r="T4" s="10">
        <v>18</v>
      </c>
      <c r="U4" s="10">
        <v>19</v>
      </c>
      <c r="V4" s="10">
        <v>20</v>
      </c>
      <c r="W4" s="10">
        <v>21</v>
      </c>
      <c r="X4" s="9">
        <v>22</v>
      </c>
      <c r="Y4" s="10">
        <v>23</v>
      </c>
      <c r="Z4" s="10">
        <v>24</v>
      </c>
      <c r="AA4" s="10">
        <v>25</v>
      </c>
      <c r="AB4" s="10">
        <v>26</v>
      </c>
      <c r="AC4" s="10">
        <v>27</v>
      </c>
      <c r="AD4" s="10">
        <v>28</v>
      </c>
      <c r="AE4" s="48"/>
      <c r="AF4" s="48"/>
      <c r="AG4" s="48"/>
    </row>
    <row r="5" spans="1:33" ht="19.95" customHeight="1" x14ac:dyDescent="0.3">
      <c r="A5" s="32" t="s">
        <v>12</v>
      </c>
      <c r="B5" s="31" t="s">
        <v>13</v>
      </c>
      <c r="C5" s="7" t="s">
        <v>1</v>
      </c>
      <c r="D5" s="7" t="s">
        <v>4</v>
      </c>
      <c r="E5" s="7" t="s">
        <v>10</v>
      </c>
      <c r="F5" s="7" t="s">
        <v>10</v>
      </c>
      <c r="G5" s="7" t="s">
        <v>10</v>
      </c>
      <c r="H5" s="7" t="s">
        <v>10</v>
      </c>
      <c r="I5" s="7" t="s">
        <v>10</v>
      </c>
      <c r="J5" s="7" t="s">
        <v>1</v>
      </c>
      <c r="K5" s="7" t="s">
        <v>10</v>
      </c>
      <c r="L5" s="7" t="s">
        <v>10</v>
      </c>
      <c r="M5" s="7" t="s">
        <v>10</v>
      </c>
      <c r="N5" s="7" t="s">
        <v>10</v>
      </c>
      <c r="O5" s="7" t="s">
        <v>10</v>
      </c>
      <c r="P5" s="7" t="s">
        <v>10</v>
      </c>
      <c r="Q5" s="7" t="s">
        <v>1</v>
      </c>
      <c r="R5" s="7" t="s">
        <v>10</v>
      </c>
      <c r="S5" s="7" t="s">
        <v>10</v>
      </c>
      <c r="T5" s="7" t="s">
        <v>10</v>
      </c>
      <c r="U5" s="7" t="s">
        <v>10</v>
      </c>
      <c r="V5" s="7" t="s">
        <v>10</v>
      </c>
      <c r="W5" s="7" t="s">
        <v>10</v>
      </c>
      <c r="X5" s="7" t="s">
        <v>1</v>
      </c>
      <c r="Y5" s="7" t="s">
        <v>10</v>
      </c>
      <c r="Z5" s="7" t="s">
        <v>10</v>
      </c>
      <c r="AA5" s="7" t="s">
        <v>10</v>
      </c>
      <c r="AB5" s="7" t="s">
        <v>10</v>
      </c>
      <c r="AC5" s="7" t="s">
        <v>10</v>
      </c>
      <c r="AD5" s="7" t="s">
        <v>10</v>
      </c>
      <c r="AE5" s="49"/>
      <c r="AF5" s="49"/>
      <c r="AG5" s="49"/>
    </row>
    <row r="6" spans="1:33" ht="19.95" customHeight="1" x14ac:dyDescent="0.3">
      <c r="A6" s="32"/>
      <c r="B6" s="31" t="s">
        <v>38</v>
      </c>
      <c r="C6" s="11"/>
      <c r="D6" s="11" t="s">
        <v>60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50"/>
      <c r="AF6" s="50"/>
      <c r="AG6" s="50"/>
    </row>
    <row r="7" spans="1:33" ht="19.95" customHeight="1" x14ac:dyDescent="0.3">
      <c r="A7" s="32"/>
      <c r="B7" s="31" t="s">
        <v>39</v>
      </c>
      <c r="C7" s="11"/>
      <c r="D7" s="11" t="s">
        <v>43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50"/>
      <c r="AF7" s="50"/>
      <c r="AG7" s="50"/>
    </row>
    <row r="8" spans="1:33" ht="19.95" customHeight="1" x14ac:dyDescent="0.3">
      <c r="A8" s="32"/>
      <c r="B8" s="31" t="s">
        <v>2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51"/>
      <c r="AF8" s="51"/>
      <c r="AG8" s="51"/>
    </row>
    <row r="9" spans="1:33" x14ac:dyDescent="0.3">
      <c r="A9" s="42"/>
      <c r="B9" s="43" t="s">
        <v>14</v>
      </c>
      <c r="C9" s="44" t="s">
        <v>3</v>
      </c>
      <c r="D9" s="45"/>
      <c r="E9" s="46">
        <f>COUNTIF($C$5:$AG$5,"✓")</f>
        <v>1</v>
      </c>
      <c r="F9" s="44" t="s">
        <v>15</v>
      </c>
      <c r="G9" s="45"/>
      <c r="H9" s="46">
        <f>COUNTIF($C$5:$AG$5,"S")</f>
        <v>0</v>
      </c>
      <c r="I9" s="44" t="s">
        <v>16</v>
      </c>
      <c r="J9" s="45"/>
      <c r="K9" s="46">
        <f>COUNTIF($C$5:$AG$5,"P")</f>
        <v>0</v>
      </c>
      <c r="L9" s="44" t="s">
        <v>7</v>
      </c>
      <c r="M9" s="45"/>
      <c r="N9" s="46">
        <f>COUNTIF($C$5:$AG$5,"V")</f>
        <v>0</v>
      </c>
      <c r="O9" s="44" t="s">
        <v>9</v>
      </c>
      <c r="P9" s="45"/>
      <c r="Q9" s="46">
        <f>COUNTIF($C$5:$AG$5,"X")</f>
        <v>23</v>
      </c>
      <c r="R9" s="44" t="s">
        <v>17</v>
      </c>
      <c r="S9" s="45"/>
      <c r="T9" s="46">
        <f>COUNTIF($C$5:$AG$5,"H")</f>
        <v>4</v>
      </c>
      <c r="U9" s="44" t="s">
        <v>18</v>
      </c>
      <c r="V9" s="45"/>
      <c r="W9" s="47">
        <f>SUM(C8:AG8)</f>
        <v>0</v>
      </c>
      <c r="X9" s="42"/>
      <c r="Y9" s="42"/>
      <c r="Z9" s="42"/>
      <c r="AA9" s="42"/>
      <c r="AB9" s="42"/>
      <c r="AC9" s="42"/>
      <c r="AD9" s="42"/>
      <c r="AE9" s="42"/>
      <c r="AF9" s="42"/>
      <c r="AG9" s="42"/>
    </row>
    <row r="11" spans="1:33" x14ac:dyDescent="0.3">
      <c r="A11" s="15" t="s">
        <v>19</v>
      </c>
      <c r="B11" s="13"/>
      <c r="C11" s="13"/>
      <c r="D11" s="13"/>
      <c r="E11" s="13"/>
      <c r="I11" s="35" t="s">
        <v>24</v>
      </c>
      <c r="J11" s="36"/>
      <c r="K11" s="36"/>
      <c r="M11" s="35" t="s">
        <v>31</v>
      </c>
      <c r="N11" s="35"/>
      <c r="O11" s="36"/>
      <c r="P11" s="36"/>
      <c r="Q11" s="36"/>
    </row>
    <row r="12" spans="1:33" x14ac:dyDescent="0.3">
      <c r="A12" s="13" t="s">
        <v>20</v>
      </c>
      <c r="B12" s="13"/>
      <c r="C12" s="13"/>
      <c r="D12" s="13"/>
      <c r="E12" s="16">
        <v>170</v>
      </c>
      <c r="I12" s="35" t="s">
        <v>25</v>
      </c>
      <c r="J12" s="35"/>
      <c r="K12" s="19" t="s">
        <v>48</v>
      </c>
      <c r="M12" s="26" t="s">
        <v>32</v>
      </c>
      <c r="N12" s="26"/>
      <c r="O12" s="22">
        <f>E9</f>
        <v>1</v>
      </c>
      <c r="P12" s="23">
        <f>E14</f>
        <v>6.5384615384615383</v>
      </c>
      <c r="Q12" s="23">
        <f>O12*P12</f>
        <v>6.5384615384615383</v>
      </c>
    </row>
    <row r="13" spans="1:33" x14ac:dyDescent="0.3">
      <c r="A13" s="13" t="s">
        <v>21</v>
      </c>
      <c r="B13" s="13"/>
      <c r="C13" s="13"/>
      <c r="D13" s="13"/>
      <c r="E13" s="17">
        <v>26</v>
      </c>
      <c r="I13" s="13" t="s">
        <v>26</v>
      </c>
      <c r="J13" s="13"/>
      <c r="K13" s="20">
        <f>E9</f>
        <v>1</v>
      </c>
      <c r="M13" s="26" t="s">
        <v>33</v>
      </c>
      <c r="N13" s="26"/>
      <c r="O13" s="24">
        <f>W9</f>
        <v>0</v>
      </c>
      <c r="P13" s="23">
        <f>E15</f>
        <v>0.82</v>
      </c>
      <c r="Q13" s="23">
        <f>O13*P13</f>
        <v>0</v>
      </c>
    </row>
    <row r="14" spans="1:33" x14ac:dyDescent="0.3">
      <c r="A14" s="13" t="s">
        <v>22</v>
      </c>
      <c r="B14" s="13"/>
      <c r="C14" s="13"/>
      <c r="D14" s="13"/>
      <c r="E14" s="18">
        <f>E12/E13</f>
        <v>6.5384615384615383</v>
      </c>
      <c r="I14" s="13" t="s">
        <v>46</v>
      </c>
      <c r="J14" s="13"/>
      <c r="K14" s="21">
        <f>W9</f>
        <v>0</v>
      </c>
      <c r="M14" s="39" t="s">
        <v>34</v>
      </c>
      <c r="N14" s="25"/>
      <c r="O14" s="13"/>
      <c r="P14" s="13"/>
      <c r="Q14" s="27">
        <v>0</v>
      </c>
    </row>
    <row r="15" spans="1:33" ht="15" thickBot="1" x14ac:dyDescent="0.35">
      <c r="A15" s="13" t="s">
        <v>23</v>
      </c>
      <c r="B15" s="13"/>
      <c r="C15" s="13"/>
      <c r="D15" s="13"/>
      <c r="E15" s="16">
        <v>0.82</v>
      </c>
      <c r="I15" s="13" t="s">
        <v>27</v>
      </c>
      <c r="J15" s="13"/>
      <c r="K15" s="20">
        <f>H9</f>
        <v>0</v>
      </c>
      <c r="M15" s="40" t="s">
        <v>35</v>
      </c>
      <c r="N15" s="41"/>
      <c r="O15" s="14"/>
      <c r="P15" s="14"/>
      <c r="Q15" s="28">
        <v>0</v>
      </c>
    </row>
    <row r="16" spans="1:33" ht="15" thickTop="1" x14ac:dyDescent="0.3">
      <c r="I16" s="13" t="s">
        <v>28</v>
      </c>
      <c r="J16" s="13"/>
      <c r="K16" s="20">
        <f>K9</f>
        <v>0</v>
      </c>
      <c r="M16" s="37" t="s">
        <v>36</v>
      </c>
      <c r="N16" s="37"/>
      <c r="O16" s="38"/>
      <c r="P16" s="38"/>
      <c r="Q16" s="29">
        <f>Q12+Q13-Q14+Q15</f>
        <v>6.5384615384615383</v>
      </c>
    </row>
    <row r="17" spans="9:11" x14ac:dyDescent="0.3">
      <c r="I17" s="13" t="s">
        <v>29</v>
      </c>
      <c r="J17" s="13"/>
      <c r="K17" s="20">
        <f>N9</f>
        <v>0</v>
      </c>
    </row>
    <row r="18" spans="9:11" x14ac:dyDescent="0.3">
      <c r="I18" s="13" t="s">
        <v>30</v>
      </c>
      <c r="J18" s="13"/>
      <c r="K18" s="20">
        <f>Q9</f>
        <v>23</v>
      </c>
    </row>
  </sheetData>
  <mergeCells count="2">
    <mergeCell ref="A4:B4"/>
    <mergeCell ref="A5:A8"/>
  </mergeCells>
  <conditionalFormatting sqref="C5:AG5">
    <cfRule type="cellIs" dxfId="69" priority="1" operator="equal">
      <formula>"✓"</formula>
    </cfRule>
  </conditionalFormatting>
  <conditionalFormatting sqref="C5:AG5">
    <cfRule type="cellIs" dxfId="68" priority="2" operator="equal">
      <formula>"S"</formula>
    </cfRule>
  </conditionalFormatting>
  <conditionalFormatting sqref="C5:AG5">
    <cfRule type="cellIs" dxfId="67" priority="3" operator="equal">
      <formula>"P"</formula>
    </cfRule>
  </conditionalFormatting>
  <conditionalFormatting sqref="C5:AG5">
    <cfRule type="cellIs" dxfId="66" priority="4" operator="equal">
      <formula>"V"</formula>
    </cfRule>
  </conditionalFormatting>
  <conditionalFormatting sqref="C5:AG5">
    <cfRule type="cellIs" dxfId="65" priority="5" operator="equal">
      <formula>"X"</formula>
    </cfRule>
  </conditionalFormatting>
  <conditionalFormatting sqref="C5:AG5">
    <cfRule type="cellIs" dxfId="64" priority="6" operator="equal">
      <formula>"H"</formula>
    </cfRule>
  </conditionalFormatting>
  <conditionalFormatting sqref="C8:AF8">
    <cfRule type="cellIs" dxfId="63" priority="7" operator="greaterThan">
      <formula>0</formula>
    </cfRule>
  </conditionalFormatting>
  <dataValidations count="1">
    <dataValidation type="list" allowBlank="1" showInputMessage="1" showErrorMessage="1" sqref="C5:AD5" xr:uid="{F2916894-1265-4E74-871E-42951F6977F8}">
      <formula1>"✓,S,P,V,X,H"</formula1>
    </dataValidation>
  </dataValidations>
  <printOptions horizontalCentered="1"/>
  <pageMargins left="0.39370078740157483" right="0.39370078740157483" top="0.43307086614173229" bottom="0.74803149606299213" header="0.31496062992125984" footer="0.31496062992125984"/>
  <pageSetup paperSize="9" scale="47" orientation="landscape" horizontalDpi="1200" verticalDpi="120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288BB-2AEB-4723-BE94-5D1A61CCC487}">
  <sheetPr>
    <pageSetUpPr fitToPage="1"/>
  </sheetPr>
  <dimension ref="A1:AG18"/>
  <sheetViews>
    <sheetView showGridLines="0" zoomScale="90" zoomScaleNormal="90" workbookViewId="0">
      <pane ySplit="3" topLeftCell="A4" activePane="bottomLeft" state="frozen"/>
      <selection pane="bottomLeft" activeCell="H27" sqref="H27"/>
    </sheetView>
  </sheetViews>
  <sheetFormatPr defaultRowHeight="14.4" x14ac:dyDescent="0.3"/>
  <cols>
    <col min="1" max="1" width="27.77734375" customWidth="1"/>
    <col min="2" max="2" width="22.21875" customWidth="1"/>
    <col min="3" max="33" width="7.77734375" customWidth="1"/>
    <col min="34" max="38" width="5.5546875" customWidth="1"/>
  </cols>
  <sheetData>
    <row r="1" spans="1:33" ht="58.8" customHeight="1" x14ac:dyDescent="0.3"/>
    <row r="2" spans="1:33" ht="18" x14ac:dyDescent="0.35">
      <c r="A2" s="1"/>
      <c r="C2" s="33" t="s">
        <v>3</v>
      </c>
      <c r="D2" s="34"/>
      <c r="E2" s="2" t="s">
        <v>4</v>
      </c>
      <c r="F2" s="33" t="s">
        <v>6</v>
      </c>
      <c r="G2" s="33"/>
      <c r="H2" s="3" t="s">
        <v>5</v>
      </c>
      <c r="I2" s="33" t="s">
        <v>6</v>
      </c>
      <c r="J2" s="33"/>
      <c r="K2" s="4" t="s">
        <v>0</v>
      </c>
      <c r="L2" s="33" t="s">
        <v>7</v>
      </c>
      <c r="M2" s="33"/>
      <c r="N2" s="5" t="s">
        <v>8</v>
      </c>
      <c r="O2" s="33" t="s">
        <v>9</v>
      </c>
      <c r="P2" s="33"/>
      <c r="Q2" s="6" t="s">
        <v>10</v>
      </c>
      <c r="R2" s="33" t="s">
        <v>11</v>
      </c>
      <c r="S2" s="33"/>
      <c r="T2" s="34"/>
      <c r="U2" s="34"/>
      <c r="V2" s="30" t="s">
        <v>1</v>
      </c>
    </row>
    <row r="4" spans="1:33" ht="19.95" customHeight="1" x14ac:dyDescent="0.3">
      <c r="A4" s="8" t="s">
        <v>51</v>
      </c>
      <c r="B4" s="8"/>
      <c r="C4" s="9">
        <v>1</v>
      </c>
      <c r="D4" s="10">
        <v>2</v>
      </c>
      <c r="E4" s="10">
        <v>3</v>
      </c>
      <c r="F4" s="10">
        <v>4</v>
      </c>
      <c r="G4" s="10">
        <v>5</v>
      </c>
      <c r="H4" s="10">
        <v>6</v>
      </c>
      <c r="I4" s="10">
        <v>7</v>
      </c>
      <c r="J4" s="9">
        <v>8</v>
      </c>
      <c r="K4" s="10">
        <v>9</v>
      </c>
      <c r="L4" s="10">
        <v>10</v>
      </c>
      <c r="M4" s="10">
        <v>11</v>
      </c>
      <c r="N4" s="10">
        <v>12</v>
      </c>
      <c r="O4" s="10">
        <v>13</v>
      </c>
      <c r="P4" s="10">
        <v>14</v>
      </c>
      <c r="Q4" s="9">
        <v>15</v>
      </c>
      <c r="R4" s="10">
        <v>16</v>
      </c>
      <c r="S4" s="10">
        <v>17</v>
      </c>
      <c r="T4" s="10">
        <v>18</v>
      </c>
      <c r="U4" s="10">
        <v>19</v>
      </c>
      <c r="V4" s="10">
        <v>20</v>
      </c>
      <c r="W4" s="10">
        <v>21</v>
      </c>
      <c r="X4" s="9">
        <v>22</v>
      </c>
      <c r="Y4" s="10">
        <v>23</v>
      </c>
      <c r="Z4" s="10">
        <v>24</v>
      </c>
      <c r="AA4" s="10">
        <v>25</v>
      </c>
      <c r="AB4" s="10">
        <v>26</v>
      </c>
      <c r="AC4" s="10">
        <v>27</v>
      </c>
      <c r="AD4" s="10">
        <v>28</v>
      </c>
      <c r="AE4" s="9">
        <v>29</v>
      </c>
      <c r="AF4" s="10">
        <v>30</v>
      </c>
      <c r="AG4" s="10">
        <v>31</v>
      </c>
    </row>
    <row r="5" spans="1:33" ht="19.95" customHeight="1" x14ac:dyDescent="0.3">
      <c r="A5" s="32" t="s">
        <v>12</v>
      </c>
      <c r="B5" s="31" t="s">
        <v>13</v>
      </c>
      <c r="C5" s="7" t="s">
        <v>4</v>
      </c>
      <c r="D5" s="7" t="s">
        <v>4</v>
      </c>
      <c r="E5" s="7" t="s">
        <v>4</v>
      </c>
      <c r="F5" s="7" t="s">
        <v>4</v>
      </c>
      <c r="G5" s="7" t="s">
        <v>4</v>
      </c>
      <c r="H5" s="7" t="s">
        <v>4</v>
      </c>
      <c r="I5" s="7" t="s">
        <v>10</v>
      </c>
      <c r="J5" s="7" t="s">
        <v>1</v>
      </c>
      <c r="K5" s="7" t="s">
        <v>10</v>
      </c>
      <c r="L5" s="7" t="s">
        <v>4</v>
      </c>
      <c r="M5" s="7" t="s">
        <v>4</v>
      </c>
      <c r="N5" s="7" t="s">
        <v>4</v>
      </c>
      <c r="O5" s="7" t="s">
        <v>4</v>
      </c>
      <c r="P5" s="7" t="s">
        <v>4</v>
      </c>
      <c r="Q5" s="7" t="s">
        <v>1</v>
      </c>
      <c r="R5" s="7" t="s">
        <v>10</v>
      </c>
      <c r="S5" s="7" t="s">
        <v>4</v>
      </c>
      <c r="T5" s="7" t="s">
        <v>4</v>
      </c>
      <c r="U5" s="7" t="s">
        <v>4</v>
      </c>
      <c r="V5" s="7" t="s">
        <v>4</v>
      </c>
      <c r="W5" s="7" t="s">
        <v>4</v>
      </c>
      <c r="X5" s="7" t="s">
        <v>4</v>
      </c>
      <c r="Y5" s="7" t="s">
        <v>10</v>
      </c>
      <c r="Z5" s="7" t="s">
        <v>4</v>
      </c>
      <c r="AA5" s="7" t="s">
        <v>4</v>
      </c>
      <c r="AB5" s="7" t="s">
        <v>4</v>
      </c>
      <c r="AC5" s="7" t="s">
        <v>4</v>
      </c>
      <c r="AD5" s="7" t="s">
        <v>4</v>
      </c>
      <c r="AE5" s="7" t="s">
        <v>4</v>
      </c>
      <c r="AF5" s="7" t="s">
        <v>10</v>
      </c>
      <c r="AG5" s="7" t="s">
        <v>4</v>
      </c>
    </row>
    <row r="6" spans="1:33" ht="19.95" customHeight="1" x14ac:dyDescent="0.3">
      <c r="A6" s="32"/>
      <c r="B6" s="31" t="s">
        <v>38</v>
      </c>
      <c r="C6" s="11" t="s">
        <v>40</v>
      </c>
      <c r="D6" s="11" t="s">
        <v>40</v>
      </c>
      <c r="E6" s="11" t="s">
        <v>40</v>
      </c>
      <c r="F6" s="11" t="s">
        <v>40</v>
      </c>
      <c r="G6" s="11" t="s">
        <v>40</v>
      </c>
      <c r="H6" s="11" t="s">
        <v>40</v>
      </c>
      <c r="I6" s="11"/>
      <c r="J6" s="11"/>
      <c r="K6" s="11"/>
      <c r="L6" s="11" t="s">
        <v>40</v>
      </c>
      <c r="M6" s="11" t="s">
        <v>40</v>
      </c>
      <c r="N6" s="11" t="s">
        <v>42</v>
      </c>
      <c r="O6" s="11" t="s">
        <v>40</v>
      </c>
      <c r="P6" s="11" t="s">
        <v>40</v>
      </c>
      <c r="Q6" s="11"/>
      <c r="R6" s="11"/>
      <c r="S6" s="11" t="s">
        <v>40</v>
      </c>
      <c r="T6" s="11" t="s">
        <v>40</v>
      </c>
      <c r="U6" s="11" t="s">
        <v>40</v>
      </c>
      <c r="V6" s="11" t="s">
        <v>40</v>
      </c>
      <c r="W6" s="11" t="s">
        <v>40</v>
      </c>
      <c r="X6" s="11" t="s">
        <v>40</v>
      </c>
      <c r="Y6" s="11"/>
      <c r="Z6" s="11" t="s">
        <v>40</v>
      </c>
      <c r="AA6" s="11" t="s">
        <v>42</v>
      </c>
      <c r="AB6" s="11" t="s">
        <v>40</v>
      </c>
      <c r="AC6" s="11" t="s">
        <v>40</v>
      </c>
      <c r="AD6" s="11" t="s">
        <v>40</v>
      </c>
      <c r="AE6" s="11" t="s">
        <v>40</v>
      </c>
      <c r="AF6" s="11"/>
      <c r="AG6" s="11" t="s">
        <v>40</v>
      </c>
    </row>
    <row r="7" spans="1:33" ht="19.95" customHeight="1" x14ac:dyDescent="0.3">
      <c r="A7" s="32"/>
      <c r="B7" s="31" t="s">
        <v>39</v>
      </c>
      <c r="C7" s="11" t="s">
        <v>45</v>
      </c>
      <c r="D7" s="11" t="s">
        <v>44</v>
      </c>
      <c r="E7" s="11" t="s">
        <v>45</v>
      </c>
      <c r="F7" s="11" t="s">
        <v>43</v>
      </c>
      <c r="G7" s="11" t="s">
        <v>45</v>
      </c>
      <c r="H7" s="11" t="s">
        <v>44</v>
      </c>
      <c r="I7" s="11"/>
      <c r="J7" s="11"/>
      <c r="K7" s="11"/>
      <c r="L7" s="11" t="s">
        <v>44</v>
      </c>
      <c r="M7" s="11" t="s">
        <v>44</v>
      </c>
      <c r="N7" s="11" t="s">
        <v>43</v>
      </c>
      <c r="O7" s="11" t="s">
        <v>43</v>
      </c>
      <c r="P7" s="11" t="s">
        <v>61</v>
      </c>
      <c r="Q7" s="11"/>
      <c r="R7" s="11"/>
      <c r="S7" s="11" t="s">
        <v>44</v>
      </c>
      <c r="T7" s="11" t="s">
        <v>44</v>
      </c>
      <c r="U7" s="11" t="s">
        <v>45</v>
      </c>
      <c r="V7" s="11" t="s">
        <v>43</v>
      </c>
      <c r="W7" s="11" t="s">
        <v>44</v>
      </c>
      <c r="X7" s="11" t="s">
        <v>43</v>
      </c>
      <c r="Y7" s="11"/>
      <c r="Z7" s="11" t="s">
        <v>44</v>
      </c>
      <c r="AA7" s="11" t="s">
        <v>43</v>
      </c>
      <c r="AB7" s="11" t="s">
        <v>44</v>
      </c>
      <c r="AC7" s="11" t="s">
        <v>44</v>
      </c>
      <c r="AD7" s="11" t="s">
        <v>44</v>
      </c>
      <c r="AE7" s="11" t="s">
        <v>45</v>
      </c>
      <c r="AF7" s="11"/>
      <c r="AG7" s="11" t="s">
        <v>44</v>
      </c>
    </row>
    <row r="8" spans="1:33" ht="19.95" customHeight="1" x14ac:dyDescent="0.3">
      <c r="A8" s="32"/>
      <c r="B8" s="31" t="s">
        <v>2</v>
      </c>
      <c r="C8" s="12"/>
      <c r="D8" s="12">
        <v>1</v>
      </c>
      <c r="E8" s="12"/>
      <c r="F8" s="12">
        <v>2</v>
      </c>
      <c r="G8" s="12"/>
      <c r="H8" s="12">
        <v>1</v>
      </c>
      <c r="I8" s="12"/>
      <c r="J8" s="12"/>
      <c r="K8" s="12"/>
      <c r="L8" s="12">
        <v>1</v>
      </c>
      <c r="M8" s="12">
        <v>1</v>
      </c>
      <c r="N8" s="12">
        <v>1</v>
      </c>
      <c r="O8" s="12">
        <v>2</v>
      </c>
      <c r="P8" s="12"/>
      <c r="Q8" s="12"/>
      <c r="R8" s="12"/>
      <c r="S8" s="12">
        <v>1</v>
      </c>
      <c r="T8" s="12">
        <v>1</v>
      </c>
      <c r="U8" s="12"/>
      <c r="V8" s="12">
        <v>2</v>
      </c>
      <c r="W8" s="12">
        <v>1</v>
      </c>
      <c r="X8" s="12">
        <v>2</v>
      </c>
      <c r="Y8" s="12"/>
      <c r="Z8" s="12">
        <v>1</v>
      </c>
      <c r="AA8" s="12">
        <v>1</v>
      </c>
      <c r="AB8" s="12">
        <v>1</v>
      </c>
      <c r="AC8" s="12">
        <v>1</v>
      </c>
      <c r="AD8" s="12">
        <v>1</v>
      </c>
      <c r="AE8" s="12"/>
      <c r="AF8" s="12"/>
      <c r="AG8" s="12">
        <v>1</v>
      </c>
    </row>
    <row r="9" spans="1:33" x14ac:dyDescent="0.3">
      <c r="A9" s="42"/>
      <c r="B9" s="43" t="s">
        <v>14</v>
      </c>
      <c r="C9" s="44" t="s">
        <v>3</v>
      </c>
      <c r="D9" s="45"/>
      <c r="E9" s="46">
        <f>COUNTIF($C$5:$AG$5,"✓")</f>
        <v>24</v>
      </c>
      <c r="F9" s="44" t="s">
        <v>15</v>
      </c>
      <c r="G9" s="45"/>
      <c r="H9" s="46">
        <f>COUNTIF($C$5:$AG$5,"S")</f>
        <v>0</v>
      </c>
      <c r="I9" s="44" t="s">
        <v>16</v>
      </c>
      <c r="J9" s="45"/>
      <c r="K9" s="46">
        <f>COUNTIF($C$5:$AG$5,"P")</f>
        <v>0</v>
      </c>
      <c r="L9" s="44" t="s">
        <v>7</v>
      </c>
      <c r="M9" s="45"/>
      <c r="N9" s="46">
        <f>COUNTIF($C$5:$AG$5,"V")</f>
        <v>0</v>
      </c>
      <c r="O9" s="44" t="s">
        <v>9</v>
      </c>
      <c r="P9" s="45"/>
      <c r="Q9" s="46">
        <f>COUNTIF($C$5:$AG$5,"X")</f>
        <v>5</v>
      </c>
      <c r="R9" s="44" t="s">
        <v>17</v>
      </c>
      <c r="S9" s="45"/>
      <c r="T9" s="46">
        <f>COUNTIF($C$5:$AG$5,"H")</f>
        <v>2</v>
      </c>
      <c r="U9" s="44" t="s">
        <v>18</v>
      </c>
      <c r="V9" s="45"/>
      <c r="W9" s="47">
        <f>SUM(C8:AG8)</f>
        <v>22</v>
      </c>
      <c r="X9" s="42"/>
      <c r="Y9" s="42"/>
      <c r="Z9" s="42"/>
      <c r="AA9" s="42"/>
      <c r="AB9" s="42"/>
      <c r="AC9" s="42"/>
      <c r="AD9" s="42"/>
      <c r="AE9" s="42"/>
      <c r="AF9" s="42"/>
      <c r="AG9" s="42"/>
    </row>
    <row r="11" spans="1:33" x14ac:dyDescent="0.3">
      <c r="A11" s="15" t="s">
        <v>19</v>
      </c>
      <c r="B11" s="13"/>
      <c r="C11" s="13"/>
      <c r="D11" s="13"/>
      <c r="E11" s="13"/>
      <c r="I11" s="35" t="s">
        <v>24</v>
      </c>
      <c r="J11" s="36"/>
      <c r="K11" s="36"/>
      <c r="M11" s="35" t="s">
        <v>31</v>
      </c>
      <c r="N11" s="35"/>
      <c r="O11" s="36"/>
      <c r="P11" s="36"/>
      <c r="Q11" s="36"/>
    </row>
    <row r="12" spans="1:33" x14ac:dyDescent="0.3">
      <c r="A12" s="13" t="s">
        <v>20</v>
      </c>
      <c r="B12" s="13"/>
      <c r="C12" s="13"/>
      <c r="D12" s="13"/>
      <c r="E12" s="16">
        <v>170</v>
      </c>
      <c r="I12" s="35" t="s">
        <v>25</v>
      </c>
      <c r="J12" s="35"/>
      <c r="K12" s="19" t="s">
        <v>48</v>
      </c>
      <c r="M12" s="26" t="s">
        <v>32</v>
      </c>
      <c r="N12" s="26"/>
      <c r="O12" s="22">
        <f>E9</f>
        <v>24</v>
      </c>
      <c r="P12" s="23">
        <f>E14</f>
        <v>6.5384615384615383</v>
      </c>
      <c r="Q12" s="23">
        <f>O12*P12</f>
        <v>156.92307692307691</v>
      </c>
    </row>
    <row r="13" spans="1:33" x14ac:dyDescent="0.3">
      <c r="A13" s="13" t="s">
        <v>21</v>
      </c>
      <c r="B13" s="13"/>
      <c r="C13" s="13"/>
      <c r="D13" s="13"/>
      <c r="E13" s="17">
        <v>26</v>
      </c>
      <c r="I13" s="13" t="s">
        <v>26</v>
      </c>
      <c r="J13" s="13"/>
      <c r="K13" s="20">
        <f>E9</f>
        <v>24</v>
      </c>
      <c r="M13" s="26" t="s">
        <v>33</v>
      </c>
      <c r="N13" s="26"/>
      <c r="O13" s="24">
        <f>W9</f>
        <v>22</v>
      </c>
      <c r="P13" s="23">
        <f>E15</f>
        <v>0.82</v>
      </c>
      <c r="Q13" s="23">
        <f>O13*P13</f>
        <v>18.04</v>
      </c>
    </row>
    <row r="14" spans="1:33" x14ac:dyDescent="0.3">
      <c r="A14" s="13" t="s">
        <v>22</v>
      </c>
      <c r="B14" s="13"/>
      <c r="C14" s="13"/>
      <c r="D14" s="13"/>
      <c r="E14" s="18">
        <f>E12/E13</f>
        <v>6.5384615384615383</v>
      </c>
      <c r="I14" s="13" t="s">
        <v>46</v>
      </c>
      <c r="J14" s="13"/>
      <c r="K14" s="21">
        <f>W9</f>
        <v>22</v>
      </c>
      <c r="M14" s="39" t="s">
        <v>34</v>
      </c>
      <c r="N14" s="25"/>
      <c r="O14" s="13"/>
      <c r="P14" s="13"/>
      <c r="Q14" s="27">
        <v>0</v>
      </c>
    </row>
    <row r="15" spans="1:33" ht="15" thickBot="1" x14ac:dyDescent="0.35">
      <c r="A15" s="13" t="s">
        <v>23</v>
      </c>
      <c r="B15" s="13"/>
      <c r="C15" s="13"/>
      <c r="D15" s="13"/>
      <c r="E15" s="16">
        <v>0.82</v>
      </c>
      <c r="I15" s="13" t="s">
        <v>27</v>
      </c>
      <c r="J15" s="13"/>
      <c r="K15" s="20">
        <f>H9</f>
        <v>0</v>
      </c>
      <c r="M15" s="40" t="s">
        <v>35</v>
      </c>
      <c r="N15" s="41"/>
      <c r="O15" s="14"/>
      <c r="P15" s="14"/>
      <c r="Q15" s="28">
        <v>0</v>
      </c>
    </row>
    <row r="16" spans="1:33" ht="15" thickTop="1" x14ac:dyDescent="0.3">
      <c r="I16" s="13" t="s">
        <v>28</v>
      </c>
      <c r="J16" s="13"/>
      <c r="K16" s="20">
        <f>K9</f>
        <v>0</v>
      </c>
      <c r="M16" s="37" t="s">
        <v>36</v>
      </c>
      <c r="N16" s="37"/>
      <c r="O16" s="38"/>
      <c r="P16" s="38"/>
      <c r="Q16" s="29">
        <f>Q12+Q13-Q14+Q15</f>
        <v>174.9630769230769</v>
      </c>
    </row>
    <row r="17" spans="9:11" x14ac:dyDescent="0.3">
      <c r="I17" s="13" t="s">
        <v>29</v>
      </c>
      <c r="J17" s="13"/>
      <c r="K17" s="20">
        <f>N9</f>
        <v>0</v>
      </c>
    </row>
    <row r="18" spans="9:11" x14ac:dyDescent="0.3">
      <c r="I18" s="13" t="s">
        <v>30</v>
      </c>
      <c r="J18" s="13"/>
      <c r="K18" s="20">
        <f>Q9</f>
        <v>5</v>
      </c>
    </row>
  </sheetData>
  <mergeCells count="2">
    <mergeCell ref="A4:B4"/>
    <mergeCell ref="A5:A8"/>
  </mergeCells>
  <conditionalFormatting sqref="C5:AG5">
    <cfRule type="cellIs" dxfId="62" priority="1" operator="equal">
      <formula>"✓"</formula>
    </cfRule>
  </conditionalFormatting>
  <conditionalFormatting sqref="C5:AG5">
    <cfRule type="cellIs" dxfId="61" priority="2" operator="equal">
      <formula>"S"</formula>
    </cfRule>
  </conditionalFormatting>
  <conditionalFormatting sqref="C5:AG5">
    <cfRule type="cellIs" dxfId="60" priority="3" operator="equal">
      <formula>"P"</formula>
    </cfRule>
  </conditionalFormatting>
  <conditionalFormatting sqref="C5:AG5">
    <cfRule type="cellIs" dxfId="59" priority="4" operator="equal">
      <formula>"V"</formula>
    </cfRule>
  </conditionalFormatting>
  <conditionalFormatting sqref="C5:AG5">
    <cfRule type="cellIs" dxfId="58" priority="5" operator="equal">
      <formula>"X"</formula>
    </cfRule>
  </conditionalFormatting>
  <conditionalFormatting sqref="C5:AG5">
    <cfRule type="cellIs" dxfId="57" priority="6" operator="equal">
      <formula>"H"</formula>
    </cfRule>
  </conditionalFormatting>
  <conditionalFormatting sqref="C8:AF8">
    <cfRule type="cellIs" dxfId="56" priority="7" operator="greaterThan">
      <formula>0</formula>
    </cfRule>
  </conditionalFormatting>
  <dataValidations count="1">
    <dataValidation type="list" allowBlank="1" showInputMessage="1" showErrorMessage="1" sqref="C5:AG5" xr:uid="{3AA628B6-348D-4AAD-9C3E-9911A2A0EFED}">
      <formula1>"✓,S,P,V,X,H"</formula1>
    </dataValidation>
  </dataValidations>
  <printOptions horizontalCentered="1"/>
  <pageMargins left="0.39370078740157483" right="0.39370078740157483" top="0.43307086614173229" bottom="0.74803149606299213" header="0.31496062992125984" footer="0.31496062992125984"/>
  <pageSetup paperSize="9" scale="47" orientation="landscape" horizontalDpi="1200" verticalDpi="120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76213-F601-47CF-BC4E-74AF76027E22}">
  <sheetPr>
    <pageSetUpPr fitToPage="1"/>
  </sheetPr>
  <dimension ref="A1:AG18"/>
  <sheetViews>
    <sheetView showGridLines="0" zoomScale="90" zoomScaleNormal="90" workbookViewId="0">
      <pane ySplit="3" topLeftCell="A4" activePane="bottomLeft" state="frozen"/>
      <selection pane="bottomLeft" activeCell="H27" sqref="H27"/>
    </sheetView>
  </sheetViews>
  <sheetFormatPr defaultRowHeight="14.4" x14ac:dyDescent="0.3"/>
  <cols>
    <col min="1" max="1" width="27.77734375" customWidth="1"/>
    <col min="2" max="2" width="22.21875" customWidth="1"/>
    <col min="3" max="33" width="7.77734375" customWidth="1"/>
    <col min="34" max="38" width="5.5546875" customWidth="1"/>
  </cols>
  <sheetData>
    <row r="1" spans="1:33" ht="58.8" customHeight="1" x14ac:dyDescent="0.3"/>
    <row r="2" spans="1:33" ht="18" x14ac:dyDescent="0.35">
      <c r="A2" s="1"/>
      <c r="C2" s="33" t="s">
        <v>3</v>
      </c>
      <c r="D2" s="34"/>
      <c r="E2" s="2" t="s">
        <v>4</v>
      </c>
      <c r="F2" s="33" t="s">
        <v>6</v>
      </c>
      <c r="G2" s="33"/>
      <c r="H2" s="3" t="s">
        <v>5</v>
      </c>
      <c r="I2" s="33" t="s">
        <v>6</v>
      </c>
      <c r="J2" s="33"/>
      <c r="K2" s="4" t="s">
        <v>0</v>
      </c>
      <c r="L2" s="33" t="s">
        <v>7</v>
      </c>
      <c r="M2" s="33"/>
      <c r="N2" s="5" t="s">
        <v>8</v>
      </c>
      <c r="O2" s="33" t="s">
        <v>9</v>
      </c>
      <c r="P2" s="33"/>
      <c r="Q2" s="6" t="s">
        <v>10</v>
      </c>
      <c r="R2" s="33" t="s">
        <v>11</v>
      </c>
      <c r="S2" s="33"/>
      <c r="T2" s="34"/>
      <c r="U2" s="34"/>
      <c r="V2" s="30" t="s">
        <v>1</v>
      </c>
    </row>
    <row r="4" spans="1:33" ht="19.95" customHeight="1" x14ac:dyDescent="0.3">
      <c r="A4" s="8" t="s">
        <v>37</v>
      </c>
      <c r="B4" s="8"/>
      <c r="C4" s="10">
        <v>1</v>
      </c>
      <c r="D4" s="10">
        <v>2</v>
      </c>
      <c r="E4" s="10">
        <v>3</v>
      </c>
      <c r="F4" s="10">
        <v>4</v>
      </c>
      <c r="G4" s="9">
        <v>5</v>
      </c>
      <c r="H4" s="10">
        <v>6</v>
      </c>
      <c r="I4" s="10">
        <v>7</v>
      </c>
      <c r="J4" s="10">
        <v>8</v>
      </c>
      <c r="K4" s="10">
        <v>9</v>
      </c>
      <c r="L4" s="10">
        <v>10</v>
      </c>
      <c r="M4" s="10">
        <v>11</v>
      </c>
      <c r="N4" s="9">
        <v>12</v>
      </c>
      <c r="O4" s="10">
        <v>13</v>
      </c>
      <c r="P4" s="10">
        <v>14</v>
      </c>
      <c r="Q4" s="10">
        <v>15</v>
      </c>
      <c r="R4" s="10">
        <v>16</v>
      </c>
      <c r="S4" s="10">
        <v>17</v>
      </c>
      <c r="T4" s="10">
        <v>18</v>
      </c>
      <c r="U4" s="9">
        <v>19</v>
      </c>
      <c r="V4" s="10">
        <v>20</v>
      </c>
      <c r="W4" s="10">
        <v>21</v>
      </c>
      <c r="X4" s="10">
        <v>22</v>
      </c>
      <c r="Y4" s="10">
        <v>23</v>
      </c>
      <c r="Z4" s="10">
        <v>24</v>
      </c>
      <c r="AA4" s="10">
        <v>25</v>
      </c>
      <c r="AB4" s="9">
        <v>26</v>
      </c>
      <c r="AC4" s="10">
        <v>27</v>
      </c>
      <c r="AD4" s="10">
        <v>28</v>
      </c>
      <c r="AE4" s="10">
        <v>29</v>
      </c>
      <c r="AF4" s="10">
        <v>30</v>
      </c>
      <c r="AG4" s="48"/>
    </row>
    <row r="5" spans="1:33" ht="19.95" customHeight="1" x14ac:dyDescent="0.3">
      <c r="A5" s="32" t="s">
        <v>12</v>
      </c>
      <c r="B5" s="31" t="s">
        <v>13</v>
      </c>
      <c r="C5" s="7" t="s">
        <v>4</v>
      </c>
      <c r="D5" s="7" t="s">
        <v>4</v>
      </c>
      <c r="E5" s="7" t="s">
        <v>4</v>
      </c>
      <c r="F5" s="7" t="s">
        <v>4</v>
      </c>
      <c r="G5" s="7" t="s">
        <v>4</v>
      </c>
      <c r="H5" s="7" t="s">
        <v>10</v>
      </c>
      <c r="I5" s="7" t="s">
        <v>4</v>
      </c>
      <c r="J5" s="7" t="s">
        <v>4</v>
      </c>
      <c r="K5" s="7" t="s">
        <v>4</v>
      </c>
      <c r="L5" s="7" t="s">
        <v>4</v>
      </c>
      <c r="M5" s="7" t="s">
        <v>4</v>
      </c>
      <c r="N5" s="7" t="s">
        <v>4</v>
      </c>
      <c r="O5" s="7" t="s">
        <v>10</v>
      </c>
      <c r="P5" s="7" t="s">
        <v>10</v>
      </c>
      <c r="Q5" s="7" t="s">
        <v>10</v>
      </c>
      <c r="R5" s="7" t="s">
        <v>10</v>
      </c>
      <c r="S5" s="7" t="s">
        <v>10</v>
      </c>
      <c r="T5" s="7" t="s">
        <v>4</v>
      </c>
      <c r="U5" s="7" t="s">
        <v>4</v>
      </c>
      <c r="V5" s="7" t="s">
        <v>10</v>
      </c>
      <c r="W5" s="7" t="s">
        <v>4</v>
      </c>
      <c r="X5" s="7" t="s">
        <v>4</v>
      </c>
      <c r="Y5" s="7" t="s">
        <v>4</v>
      </c>
      <c r="Z5" s="7" t="s">
        <v>4</v>
      </c>
      <c r="AA5" s="7" t="s">
        <v>4</v>
      </c>
      <c r="AB5" s="7" t="s">
        <v>4</v>
      </c>
      <c r="AC5" s="7" t="s">
        <v>10</v>
      </c>
      <c r="AD5" s="7" t="s">
        <v>4</v>
      </c>
      <c r="AE5" s="7" t="s">
        <v>4</v>
      </c>
      <c r="AF5" s="7" t="s">
        <v>10</v>
      </c>
      <c r="AG5" s="49"/>
    </row>
    <row r="6" spans="1:33" ht="19.95" customHeight="1" x14ac:dyDescent="0.3">
      <c r="A6" s="32"/>
      <c r="B6" s="31" t="s">
        <v>38</v>
      </c>
      <c r="C6" s="11" t="s">
        <v>40</v>
      </c>
      <c r="D6" s="11" t="s">
        <v>42</v>
      </c>
      <c r="E6" s="11" t="s">
        <v>40</v>
      </c>
      <c r="F6" s="11" t="s">
        <v>40</v>
      </c>
      <c r="G6" s="11" t="s">
        <v>40</v>
      </c>
      <c r="H6" s="11"/>
      <c r="I6" s="11" t="s">
        <v>40</v>
      </c>
      <c r="J6" s="11" t="s">
        <v>42</v>
      </c>
      <c r="K6" s="11" t="s">
        <v>40</v>
      </c>
      <c r="L6" s="11" t="s">
        <v>40</v>
      </c>
      <c r="M6" s="11" t="s">
        <v>40</v>
      </c>
      <c r="N6" s="11" t="s">
        <v>40</v>
      </c>
      <c r="O6" s="11"/>
      <c r="P6" s="11"/>
      <c r="Q6" s="11"/>
      <c r="R6" s="11"/>
      <c r="S6" s="11"/>
      <c r="T6" s="11" t="s">
        <v>40</v>
      </c>
      <c r="U6" s="11" t="s">
        <v>40</v>
      </c>
      <c r="V6" s="11"/>
      <c r="W6" s="11" t="s">
        <v>42</v>
      </c>
      <c r="X6" s="11" t="s">
        <v>40</v>
      </c>
      <c r="Y6" s="11" t="s">
        <v>40</v>
      </c>
      <c r="Z6" s="11" t="s">
        <v>42</v>
      </c>
      <c r="AA6" s="11" t="s">
        <v>40</v>
      </c>
      <c r="AB6" s="11" t="s">
        <v>40</v>
      </c>
      <c r="AC6" s="11"/>
      <c r="AD6" s="11" t="s">
        <v>40</v>
      </c>
      <c r="AE6" s="11" t="s">
        <v>40</v>
      </c>
      <c r="AF6" s="11"/>
      <c r="AG6" s="50"/>
    </row>
    <row r="7" spans="1:33" ht="19.95" customHeight="1" x14ac:dyDescent="0.3">
      <c r="A7" s="32"/>
      <c r="B7" s="31" t="s">
        <v>39</v>
      </c>
      <c r="C7" s="11" t="s">
        <v>44</v>
      </c>
      <c r="D7" s="11" t="s">
        <v>43</v>
      </c>
      <c r="E7" s="11" t="s">
        <v>44</v>
      </c>
      <c r="F7" s="11" t="s">
        <v>41</v>
      </c>
      <c r="G7" s="11" t="s">
        <v>45</v>
      </c>
      <c r="H7" s="11"/>
      <c r="I7" s="11" t="s">
        <v>45</v>
      </c>
      <c r="J7" s="11" t="s">
        <v>43</v>
      </c>
      <c r="K7" s="11" t="s">
        <v>43</v>
      </c>
      <c r="L7" s="11" t="s">
        <v>44</v>
      </c>
      <c r="M7" s="11" t="s">
        <v>43</v>
      </c>
      <c r="N7" s="11" t="s">
        <v>45</v>
      </c>
      <c r="O7" s="11"/>
      <c r="P7" s="11"/>
      <c r="Q7" s="11"/>
      <c r="R7" s="11"/>
      <c r="S7" s="11"/>
      <c r="T7" s="11" t="s">
        <v>44</v>
      </c>
      <c r="U7" s="11" t="s">
        <v>44</v>
      </c>
      <c r="V7" s="11"/>
      <c r="W7" s="11" t="s">
        <v>43</v>
      </c>
      <c r="X7" s="11" t="s">
        <v>44</v>
      </c>
      <c r="Y7" s="11" t="s">
        <v>44</v>
      </c>
      <c r="Z7" s="11" t="s">
        <v>43</v>
      </c>
      <c r="AA7" s="11" t="s">
        <v>44</v>
      </c>
      <c r="AB7" s="11" t="s">
        <v>45</v>
      </c>
      <c r="AC7" s="11"/>
      <c r="AD7" s="11" t="s">
        <v>45</v>
      </c>
      <c r="AE7" s="11" t="s">
        <v>43</v>
      </c>
      <c r="AF7" s="11"/>
      <c r="AG7" s="50"/>
    </row>
    <row r="8" spans="1:33" ht="19.95" customHeight="1" x14ac:dyDescent="0.3">
      <c r="A8" s="32"/>
      <c r="B8" s="31" t="s">
        <v>2</v>
      </c>
      <c r="C8" s="12">
        <v>1</v>
      </c>
      <c r="D8" s="12">
        <v>1</v>
      </c>
      <c r="E8" s="12">
        <v>1</v>
      </c>
      <c r="F8" s="12"/>
      <c r="G8" s="12"/>
      <c r="H8" s="12"/>
      <c r="I8" s="12"/>
      <c r="J8" s="12">
        <v>1</v>
      </c>
      <c r="K8" s="12">
        <v>2</v>
      </c>
      <c r="L8" s="12">
        <v>1</v>
      </c>
      <c r="M8" s="12">
        <v>2</v>
      </c>
      <c r="N8" s="12"/>
      <c r="O8" s="12"/>
      <c r="P8" s="12"/>
      <c r="Q8" s="12"/>
      <c r="R8" s="12"/>
      <c r="S8" s="12"/>
      <c r="T8" s="12">
        <v>1</v>
      </c>
      <c r="U8" s="12">
        <v>1</v>
      </c>
      <c r="V8" s="12"/>
      <c r="W8" s="12">
        <v>1</v>
      </c>
      <c r="X8" s="12">
        <v>1</v>
      </c>
      <c r="Y8" s="12">
        <v>1</v>
      </c>
      <c r="Z8" s="12">
        <v>1</v>
      </c>
      <c r="AA8" s="12">
        <v>1</v>
      </c>
      <c r="AB8" s="12"/>
      <c r="AC8" s="12"/>
      <c r="AD8" s="12"/>
      <c r="AE8" s="12">
        <v>2</v>
      </c>
      <c r="AF8" s="12"/>
      <c r="AG8" s="51"/>
    </row>
    <row r="9" spans="1:33" x14ac:dyDescent="0.3">
      <c r="A9" s="42"/>
      <c r="B9" s="43" t="s">
        <v>14</v>
      </c>
      <c r="C9" s="44" t="s">
        <v>3</v>
      </c>
      <c r="D9" s="45"/>
      <c r="E9" s="46">
        <f>COUNTIF($C$5:$AG$5,"✓")</f>
        <v>21</v>
      </c>
      <c r="F9" s="44" t="s">
        <v>15</v>
      </c>
      <c r="G9" s="45"/>
      <c r="H9" s="46">
        <f>COUNTIF($C$5:$AG$5,"S")</f>
        <v>0</v>
      </c>
      <c r="I9" s="44" t="s">
        <v>16</v>
      </c>
      <c r="J9" s="45"/>
      <c r="K9" s="46">
        <f>COUNTIF($C$5:$AG$5,"P")</f>
        <v>0</v>
      </c>
      <c r="L9" s="44" t="s">
        <v>7</v>
      </c>
      <c r="M9" s="45"/>
      <c r="N9" s="46">
        <f>COUNTIF($C$5:$AG$5,"V")</f>
        <v>0</v>
      </c>
      <c r="O9" s="44" t="s">
        <v>9</v>
      </c>
      <c r="P9" s="45"/>
      <c r="Q9" s="46">
        <f>COUNTIF($C$5:$AG$5,"X")</f>
        <v>9</v>
      </c>
      <c r="R9" s="44" t="s">
        <v>17</v>
      </c>
      <c r="S9" s="45"/>
      <c r="T9" s="46">
        <f>COUNTIF($C$5:$AG$5,"H")</f>
        <v>0</v>
      </c>
      <c r="U9" s="44" t="s">
        <v>18</v>
      </c>
      <c r="V9" s="45"/>
      <c r="W9" s="47">
        <f>SUM(C8:AG8)</f>
        <v>18</v>
      </c>
      <c r="X9" s="42"/>
      <c r="Y9" s="42"/>
      <c r="Z9" s="42"/>
      <c r="AA9" s="42"/>
      <c r="AB9" s="42"/>
      <c r="AC9" s="42"/>
      <c r="AD9" s="42"/>
      <c r="AE9" s="42"/>
      <c r="AF9" s="42"/>
      <c r="AG9" s="42"/>
    </row>
    <row r="11" spans="1:33" x14ac:dyDescent="0.3">
      <c r="A11" s="15" t="s">
        <v>19</v>
      </c>
      <c r="B11" s="13"/>
      <c r="C11" s="13"/>
      <c r="D11" s="13"/>
      <c r="E11" s="13"/>
      <c r="I11" s="35" t="s">
        <v>24</v>
      </c>
      <c r="J11" s="36"/>
      <c r="K11" s="36"/>
      <c r="M11" s="35" t="s">
        <v>31</v>
      </c>
      <c r="N11" s="35"/>
      <c r="O11" s="36"/>
      <c r="P11" s="36"/>
      <c r="Q11" s="36"/>
    </row>
    <row r="12" spans="1:33" x14ac:dyDescent="0.3">
      <c r="A12" s="13" t="s">
        <v>20</v>
      </c>
      <c r="B12" s="13"/>
      <c r="C12" s="13"/>
      <c r="D12" s="13"/>
      <c r="E12" s="16">
        <v>170</v>
      </c>
      <c r="I12" s="35" t="s">
        <v>25</v>
      </c>
      <c r="J12" s="35"/>
      <c r="K12" s="19" t="s">
        <v>48</v>
      </c>
      <c r="M12" s="26" t="s">
        <v>32</v>
      </c>
      <c r="N12" s="26"/>
      <c r="O12" s="22">
        <f>E9</f>
        <v>21</v>
      </c>
      <c r="P12" s="23">
        <f>E14</f>
        <v>6.5384615384615383</v>
      </c>
      <c r="Q12" s="23">
        <f>O12*P12</f>
        <v>137.30769230769229</v>
      </c>
    </row>
    <row r="13" spans="1:33" x14ac:dyDescent="0.3">
      <c r="A13" s="13" t="s">
        <v>21</v>
      </c>
      <c r="B13" s="13"/>
      <c r="C13" s="13"/>
      <c r="D13" s="13"/>
      <c r="E13" s="17">
        <v>26</v>
      </c>
      <c r="I13" s="13" t="s">
        <v>26</v>
      </c>
      <c r="J13" s="13"/>
      <c r="K13" s="20">
        <f>E9</f>
        <v>21</v>
      </c>
      <c r="M13" s="26" t="s">
        <v>33</v>
      </c>
      <c r="N13" s="26"/>
      <c r="O13" s="24">
        <f>W9</f>
        <v>18</v>
      </c>
      <c r="P13" s="23">
        <f>E15</f>
        <v>0.82</v>
      </c>
      <c r="Q13" s="23">
        <f>O13*P13</f>
        <v>14.76</v>
      </c>
    </row>
    <row r="14" spans="1:33" x14ac:dyDescent="0.3">
      <c r="A14" s="13" t="s">
        <v>22</v>
      </c>
      <c r="B14" s="13"/>
      <c r="C14" s="13"/>
      <c r="D14" s="13"/>
      <c r="E14" s="18">
        <f>E12/E13</f>
        <v>6.5384615384615383</v>
      </c>
      <c r="I14" s="13" t="s">
        <v>46</v>
      </c>
      <c r="J14" s="13"/>
      <c r="K14" s="21">
        <f>W9</f>
        <v>18</v>
      </c>
      <c r="M14" s="39" t="s">
        <v>34</v>
      </c>
      <c r="N14" s="25"/>
      <c r="O14" s="13"/>
      <c r="P14" s="13"/>
      <c r="Q14" s="27">
        <v>0</v>
      </c>
    </row>
    <row r="15" spans="1:33" ht="15" thickBot="1" x14ac:dyDescent="0.35">
      <c r="A15" s="13" t="s">
        <v>23</v>
      </c>
      <c r="B15" s="13"/>
      <c r="C15" s="13"/>
      <c r="D15" s="13"/>
      <c r="E15" s="16">
        <v>0.82</v>
      </c>
      <c r="I15" s="13" t="s">
        <v>27</v>
      </c>
      <c r="J15" s="13"/>
      <c r="K15" s="20">
        <f>H9</f>
        <v>0</v>
      </c>
      <c r="M15" s="40" t="s">
        <v>35</v>
      </c>
      <c r="N15" s="41"/>
      <c r="O15" s="14"/>
      <c r="P15" s="14"/>
      <c r="Q15" s="28">
        <v>0</v>
      </c>
    </row>
    <row r="16" spans="1:33" ht="15" thickTop="1" x14ac:dyDescent="0.3">
      <c r="I16" s="13" t="s">
        <v>28</v>
      </c>
      <c r="J16" s="13"/>
      <c r="K16" s="20">
        <f>K9</f>
        <v>0</v>
      </c>
      <c r="M16" s="37" t="s">
        <v>36</v>
      </c>
      <c r="N16" s="37"/>
      <c r="O16" s="38"/>
      <c r="P16" s="38"/>
      <c r="Q16" s="29">
        <f>Q12+Q13-Q14+Q15</f>
        <v>152.06769230769228</v>
      </c>
    </row>
    <row r="17" spans="9:11" x14ac:dyDescent="0.3">
      <c r="I17" s="13" t="s">
        <v>29</v>
      </c>
      <c r="J17" s="13"/>
      <c r="K17" s="20">
        <f>N9</f>
        <v>0</v>
      </c>
    </row>
    <row r="18" spans="9:11" x14ac:dyDescent="0.3">
      <c r="I18" s="13" t="s">
        <v>30</v>
      </c>
      <c r="J18" s="13"/>
      <c r="K18" s="20">
        <f>Q9</f>
        <v>9</v>
      </c>
    </row>
  </sheetData>
  <mergeCells count="2">
    <mergeCell ref="A4:B4"/>
    <mergeCell ref="A5:A8"/>
  </mergeCells>
  <conditionalFormatting sqref="C5:AG5">
    <cfRule type="cellIs" dxfId="55" priority="1" operator="equal">
      <formula>"✓"</formula>
    </cfRule>
  </conditionalFormatting>
  <conditionalFormatting sqref="C5:AG5">
    <cfRule type="cellIs" dxfId="54" priority="2" operator="equal">
      <formula>"S"</formula>
    </cfRule>
  </conditionalFormatting>
  <conditionalFormatting sqref="C5:AG5">
    <cfRule type="cellIs" dxfId="53" priority="3" operator="equal">
      <formula>"P"</formula>
    </cfRule>
  </conditionalFormatting>
  <conditionalFormatting sqref="C5:AG5">
    <cfRule type="cellIs" dxfId="52" priority="4" operator="equal">
      <formula>"V"</formula>
    </cfRule>
  </conditionalFormatting>
  <conditionalFormatting sqref="C5:AG5">
    <cfRule type="cellIs" dxfId="51" priority="5" operator="equal">
      <formula>"X"</formula>
    </cfRule>
  </conditionalFormatting>
  <conditionalFormatting sqref="C5:AG5">
    <cfRule type="cellIs" dxfId="50" priority="6" operator="equal">
      <formula>"H"</formula>
    </cfRule>
  </conditionalFormatting>
  <conditionalFormatting sqref="C8:AF8">
    <cfRule type="cellIs" dxfId="49" priority="7" operator="greaterThan">
      <formula>0</formula>
    </cfRule>
  </conditionalFormatting>
  <dataValidations count="1">
    <dataValidation type="list" allowBlank="1" showInputMessage="1" showErrorMessage="1" sqref="C5:AF5" xr:uid="{136A8E2B-1379-4CCF-9155-7AB0B6DF55C8}">
      <formula1>"✓,S,P,V,X,H"</formula1>
    </dataValidation>
  </dataValidations>
  <printOptions horizontalCentered="1"/>
  <pageMargins left="0.39370078740157483" right="0.39370078740157483" top="0.43307086614173229" bottom="0.74803149606299213" header="0.31496062992125984" footer="0.31496062992125984"/>
  <pageSetup paperSize="9" scale="47" orientation="landscape" horizontalDpi="1200" verticalDpi="120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E24EB-E9D5-490D-9B63-0C3BC75D0DFE}">
  <sheetPr>
    <pageSetUpPr fitToPage="1"/>
  </sheetPr>
  <dimension ref="A1:AG18"/>
  <sheetViews>
    <sheetView showGridLines="0" tabSelected="1" zoomScale="90" zoomScaleNormal="90" workbookViewId="0">
      <pane ySplit="3" topLeftCell="A4" activePane="bottomLeft" state="frozen"/>
      <selection pane="bottomLeft" activeCell="R18" sqref="R18"/>
    </sheetView>
  </sheetViews>
  <sheetFormatPr defaultRowHeight="14.4" x14ac:dyDescent="0.3"/>
  <cols>
    <col min="1" max="1" width="27.77734375" customWidth="1"/>
    <col min="2" max="2" width="22.21875" customWidth="1"/>
    <col min="3" max="33" width="7.77734375" customWidth="1"/>
    <col min="34" max="38" width="5.5546875" customWidth="1"/>
  </cols>
  <sheetData>
    <row r="1" spans="1:33" ht="58.8" customHeight="1" x14ac:dyDescent="0.3"/>
    <row r="2" spans="1:33" ht="18" x14ac:dyDescent="0.35">
      <c r="A2" s="1"/>
      <c r="C2" s="33" t="s">
        <v>3</v>
      </c>
      <c r="D2" s="34"/>
      <c r="E2" s="2" t="s">
        <v>4</v>
      </c>
      <c r="F2" s="33" t="s">
        <v>6</v>
      </c>
      <c r="G2" s="33"/>
      <c r="H2" s="3" t="s">
        <v>5</v>
      </c>
      <c r="I2" s="33" t="s">
        <v>6</v>
      </c>
      <c r="J2" s="33"/>
      <c r="K2" s="4" t="s">
        <v>0</v>
      </c>
      <c r="L2" s="33" t="s">
        <v>7</v>
      </c>
      <c r="M2" s="33"/>
      <c r="N2" s="5" t="s">
        <v>8</v>
      </c>
      <c r="O2" s="33" t="s">
        <v>9</v>
      </c>
      <c r="P2" s="33"/>
      <c r="Q2" s="6" t="s">
        <v>10</v>
      </c>
      <c r="R2" s="33" t="s">
        <v>11</v>
      </c>
      <c r="S2" s="33"/>
      <c r="T2" s="34"/>
      <c r="U2" s="34"/>
      <c r="V2" s="30" t="s">
        <v>1</v>
      </c>
    </row>
    <row r="4" spans="1:33" ht="19.95" customHeight="1" x14ac:dyDescent="0.3">
      <c r="A4" s="8" t="s">
        <v>47</v>
      </c>
      <c r="B4" s="8"/>
      <c r="C4" s="10">
        <v>1</v>
      </c>
      <c r="D4" s="10">
        <v>2</v>
      </c>
      <c r="E4" s="9">
        <v>3</v>
      </c>
      <c r="F4" s="10">
        <v>4</v>
      </c>
      <c r="G4" s="10">
        <v>5</v>
      </c>
      <c r="H4" s="10">
        <v>6</v>
      </c>
      <c r="I4" s="10">
        <v>7</v>
      </c>
      <c r="J4" s="10">
        <v>8</v>
      </c>
      <c r="K4" s="10">
        <v>9</v>
      </c>
      <c r="L4" s="9">
        <v>10</v>
      </c>
      <c r="M4" s="10">
        <v>11</v>
      </c>
      <c r="N4" s="10">
        <v>12</v>
      </c>
      <c r="O4" s="10">
        <v>13</v>
      </c>
      <c r="P4" s="10">
        <v>14</v>
      </c>
      <c r="Q4" s="10">
        <v>15</v>
      </c>
      <c r="R4" s="10">
        <v>16</v>
      </c>
      <c r="S4" s="9">
        <v>17</v>
      </c>
      <c r="T4" s="10">
        <v>18</v>
      </c>
      <c r="U4" s="10">
        <v>19</v>
      </c>
      <c r="V4" s="10">
        <v>20</v>
      </c>
      <c r="W4" s="10">
        <v>21</v>
      </c>
      <c r="X4" s="10">
        <v>22</v>
      </c>
      <c r="Y4" s="10">
        <v>23</v>
      </c>
      <c r="Z4" s="9">
        <v>24</v>
      </c>
      <c r="AA4" s="10">
        <v>25</v>
      </c>
      <c r="AB4" s="10">
        <v>26</v>
      </c>
      <c r="AC4" s="10">
        <v>27</v>
      </c>
      <c r="AD4" s="10">
        <v>28</v>
      </c>
      <c r="AE4" s="10">
        <v>29</v>
      </c>
      <c r="AF4" s="10">
        <v>30</v>
      </c>
      <c r="AG4" s="9">
        <v>31</v>
      </c>
    </row>
    <row r="5" spans="1:33" ht="19.95" customHeight="1" x14ac:dyDescent="0.3">
      <c r="A5" s="32" t="s">
        <v>12</v>
      </c>
      <c r="B5" s="31" t="s">
        <v>13</v>
      </c>
      <c r="C5" s="7" t="s">
        <v>4</v>
      </c>
      <c r="D5" s="7" t="s">
        <v>4</v>
      </c>
      <c r="E5" s="7" t="s">
        <v>4</v>
      </c>
      <c r="F5" s="7" t="s">
        <v>10</v>
      </c>
      <c r="G5" s="7" t="s">
        <v>4</v>
      </c>
      <c r="H5" s="7" t="s">
        <v>4</v>
      </c>
      <c r="I5" s="7" t="s">
        <v>4</v>
      </c>
      <c r="J5" s="7" t="s">
        <v>4</v>
      </c>
      <c r="K5" s="7" t="s">
        <v>4</v>
      </c>
      <c r="L5" s="7" t="s">
        <v>4</v>
      </c>
      <c r="M5" s="7" t="s">
        <v>10</v>
      </c>
      <c r="N5" s="7" t="s">
        <v>4</v>
      </c>
      <c r="O5" s="7" t="s">
        <v>4</v>
      </c>
      <c r="P5" s="7" t="s">
        <v>10</v>
      </c>
      <c r="Q5" s="7" t="s">
        <v>4</v>
      </c>
      <c r="R5" s="7" t="s">
        <v>4</v>
      </c>
      <c r="S5" s="7" t="s">
        <v>4</v>
      </c>
      <c r="T5" s="7" t="s">
        <v>10</v>
      </c>
      <c r="U5" s="7" t="s">
        <v>4</v>
      </c>
      <c r="V5" s="7" t="s">
        <v>4</v>
      </c>
      <c r="W5" s="7" t="s">
        <v>4</v>
      </c>
      <c r="X5" s="7" t="s">
        <v>4</v>
      </c>
      <c r="Y5" s="7" t="s">
        <v>4</v>
      </c>
      <c r="Z5" s="7" t="s">
        <v>4</v>
      </c>
      <c r="AA5" s="7" t="s">
        <v>10</v>
      </c>
      <c r="AB5" s="7" t="s">
        <v>4</v>
      </c>
      <c r="AC5" s="7" t="s">
        <v>4</v>
      </c>
      <c r="AD5" s="7" t="s">
        <v>4</v>
      </c>
      <c r="AE5" s="7" t="s">
        <v>4</v>
      </c>
      <c r="AF5" s="7" t="s">
        <v>4</v>
      </c>
      <c r="AG5" s="7" t="s">
        <v>4</v>
      </c>
    </row>
    <row r="6" spans="1:33" ht="19.95" customHeight="1" x14ac:dyDescent="0.3">
      <c r="A6" s="32"/>
      <c r="B6" s="31" t="s">
        <v>38</v>
      </c>
      <c r="C6" s="11" t="s">
        <v>40</v>
      </c>
      <c r="D6" s="11" t="s">
        <v>40</v>
      </c>
      <c r="E6" s="11" t="s">
        <v>40</v>
      </c>
      <c r="F6" s="11"/>
      <c r="G6" s="11" t="s">
        <v>42</v>
      </c>
      <c r="H6" s="11" t="s">
        <v>40</v>
      </c>
      <c r="I6" s="11" t="s">
        <v>40</v>
      </c>
      <c r="J6" s="11" t="s">
        <v>40</v>
      </c>
      <c r="K6" s="11" t="s">
        <v>40</v>
      </c>
      <c r="L6" s="11" t="s">
        <v>40</v>
      </c>
      <c r="M6" s="11"/>
      <c r="N6" s="11" t="s">
        <v>40</v>
      </c>
      <c r="O6" s="11" t="s">
        <v>40</v>
      </c>
      <c r="P6" s="11"/>
      <c r="Q6" s="11" t="s">
        <v>42</v>
      </c>
      <c r="R6" s="11" t="s">
        <v>40</v>
      </c>
      <c r="S6" s="11" t="s">
        <v>40</v>
      </c>
      <c r="T6" s="11"/>
      <c r="U6" s="11" t="s">
        <v>40</v>
      </c>
      <c r="V6" s="11" t="s">
        <v>40</v>
      </c>
      <c r="W6" s="11" t="s">
        <v>40</v>
      </c>
      <c r="X6" s="11" t="s">
        <v>40</v>
      </c>
      <c r="Y6" s="11" t="s">
        <v>42</v>
      </c>
      <c r="Z6" s="11" t="s">
        <v>40</v>
      </c>
      <c r="AA6" s="11"/>
      <c r="AB6" s="11" t="s">
        <v>40</v>
      </c>
      <c r="AC6" s="11" t="s">
        <v>40</v>
      </c>
      <c r="AD6" s="11" t="s">
        <v>40</v>
      </c>
      <c r="AE6" s="11" t="s">
        <v>40</v>
      </c>
      <c r="AF6" s="11" t="s">
        <v>40</v>
      </c>
      <c r="AG6" s="11" t="s">
        <v>42</v>
      </c>
    </row>
    <row r="7" spans="1:33" ht="19.95" customHeight="1" x14ac:dyDescent="0.3">
      <c r="A7" s="32"/>
      <c r="B7" s="31" t="s">
        <v>39</v>
      </c>
      <c r="C7" s="11" t="s">
        <v>43</v>
      </c>
      <c r="D7" s="11" t="s">
        <v>44</v>
      </c>
      <c r="E7" s="11" t="s">
        <v>45</v>
      </c>
      <c r="F7" s="11"/>
      <c r="G7" s="11" t="s">
        <v>43</v>
      </c>
      <c r="H7" s="11" t="s">
        <v>44</v>
      </c>
      <c r="I7" s="11" t="s">
        <v>45</v>
      </c>
      <c r="J7" s="11" t="s">
        <v>44</v>
      </c>
      <c r="K7" s="11" t="s">
        <v>45</v>
      </c>
      <c r="L7" s="11" t="s">
        <v>44</v>
      </c>
      <c r="M7" s="11"/>
      <c r="N7" s="11" t="s">
        <v>44</v>
      </c>
      <c r="O7" s="11" t="s">
        <v>44</v>
      </c>
      <c r="P7" s="11"/>
      <c r="Q7" s="11" t="s">
        <v>43</v>
      </c>
      <c r="R7" s="11" t="s">
        <v>44</v>
      </c>
      <c r="S7" s="11" t="s">
        <v>44</v>
      </c>
      <c r="T7" s="11"/>
      <c r="U7" s="11" t="s">
        <v>43</v>
      </c>
      <c r="V7" s="11" t="s">
        <v>44</v>
      </c>
      <c r="W7" s="11" t="s">
        <v>43</v>
      </c>
      <c r="X7" s="11" t="s">
        <v>43</v>
      </c>
      <c r="Y7" s="11" t="s">
        <v>43</v>
      </c>
      <c r="Z7" s="11" t="s">
        <v>44</v>
      </c>
      <c r="AA7" s="11"/>
      <c r="AB7" s="11" t="s">
        <v>43</v>
      </c>
      <c r="AC7" s="11" t="s">
        <v>43</v>
      </c>
      <c r="AD7" s="11" t="s">
        <v>43</v>
      </c>
      <c r="AE7" s="11" t="s">
        <v>43</v>
      </c>
      <c r="AF7" s="11" t="s">
        <v>43</v>
      </c>
      <c r="AG7" s="11" t="s">
        <v>43</v>
      </c>
    </row>
    <row r="8" spans="1:33" ht="19.95" customHeight="1" x14ac:dyDescent="0.3">
      <c r="A8" s="32"/>
      <c r="B8" s="31" t="s">
        <v>2</v>
      </c>
      <c r="C8" s="12">
        <v>2</v>
      </c>
      <c r="D8" s="12">
        <v>1</v>
      </c>
      <c r="E8" s="12"/>
      <c r="F8" s="12"/>
      <c r="G8" s="12"/>
      <c r="H8" s="12">
        <v>1</v>
      </c>
      <c r="I8" s="12"/>
      <c r="J8" s="12">
        <v>1</v>
      </c>
      <c r="K8" s="12"/>
      <c r="L8" s="12">
        <v>1</v>
      </c>
      <c r="M8" s="12"/>
      <c r="N8" s="12">
        <v>1</v>
      </c>
      <c r="O8" s="12">
        <v>1</v>
      </c>
      <c r="P8" s="12"/>
      <c r="Q8" s="12"/>
      <c r="R8" s="12">
        <v>1</v>
      </c>
      <c r="S8" s="12">
        <v>1</v>
      </c>
      <c r="T8" s="12"/>
      <c r="U8" s="12">
        <v>2</v>
      </c>
      <c r="V8" s="12">
        <v>1</v>
      </c>
      <c r="W8" s="12">
        <v>2</v>
      </c>
      <c r="X8" s="12">
        <v>2</v>
      </c>
      <c r="Y8" s="12"/>
      <c r="Z8" s="12">
        <v>1</v>
      </c>
      <c r="AA8" s="12"/>
      <c r="AB8" s="12">
        <v>2</v>
      </c>
      <c r="AC8" s="12">
        <v>2</v>
      </c>
      <c r="AD8" s="12">
        <v>2</v>
      </c>
      <c r="AE8" s="12">
        <v>2</v>
      </c>
      <c r="AF8" s="12">
        <v>2</v>
      </c>
      <c r="AG8" s="12"/>
    </row>
    <row r="9" spans="1:33" x14ac:dyDescent="0.3">
      <c r="A9" s="42"/>
      <c r="B9" s="43" t="s">
        <v>14</v>
      </c>
      <c r="C9" s="44" t="s">
        <v>3</v>
      </c>
      <c r="D9" s="45"/>
      <c r="E9" s="46">
        <f>COUNTIF($C$5:$AG$5,"✓")</f>
        <v>26</v>
      </c>
      <c r="F9" s="44" t="s">
        <v>15</v>
      </c>
      <c r="G9" s="45"/>
      <c r="H9" s="46">
        <f>COUNTIF($C$5:$AG$5,"S")</f>
        <v>0</v>
      </c>
      <c r="I9" s="44" t="s">
        <v>16</v>
      </c>
      <c r="J9" s="45"/>
      <c r="K9" s="46">
        <f>COUNTIF($C$5:$AG$5,"P")</f>
        <v>0</v>
      </c>
      <c r="L9" s="44" t="s">
        <v>7</v>
      </c>
      <c r="M9" s="45"/>
      <c r="N9" s="46">
        <f>COUNTIF($C$5:$AG$5,"V")</f>
        <v>0</v>
      </c>
      <c r="O9" s="44" t="s">
        <v>9</v>
      </c>
      <c r="P9" s="45"/>
      <c r="Q9" s="46">
        <f>COUNTIF($C$5:$AG$5,"X")</f>
        <v>5</v>
      </c>
      <c r="R9" s="44" t="s">
        <v>17</v>
      </c>
      <c r="S9" s="45"/>
      <c r="T9" s="46">
        <f>COUNTIF($C$5:$AG$5,"H")</f>
        <v>0</v>
      </c>
      <c r="U9" s="44" t="s">
        <v>18</v>
      </c>
      <c r="V9" s="45"/>
      <c r="W9" s="47">
        <f>SUM(C8:AG8)</f>
        <v>28</v>
      </c>
      <c r="X9" s="42"/>
      <c r="Y9" s="42"/>
      <c r="Z9" s="42"/>
      <c r="AA9" s="42"/>
      <c r="AB9" s="42"/>
      <c r="AC9" s="42"/>
      <c r="AD9" s="42"/>
      <c r="AE9" s="42"/>
      <c r="AF9" s="42"/>
      <c r="AG9" s="42"/>
    </row>
    <row r="11" spans="1:33" x14ac:dyDescent="0.3">
      <c r="A11" s="15" t="s">
        <v>19</v>
      </c>
      <c r="B11" s="13"/>
      <c r="C11" s="13"/>
      <c r="D11" s="13"/>
      <c r="E11" s="13"/>
      <c r="I11" s="35" t="s">
        <v>24</v>
      </c>
      <c r="J11" s="36"/>
      <c r="K11" s="36"/>
      <c r="M11" s="35" t="s">
        <v>31</v>
      </c>
      <c r="N11" s="35"/>
      <c r="O11" s="36"/>
      <c r="P11" s="36"/>
      <c r="Q11" s="36"/>
    </row>
    <row r="12" spans="1:33" x14ac:dyDescent="0.3">
      <c r="A12" s="13" t="s">
        <v>20</v>
      </c>
      <c r="B12" s="13"/>
      <c r="C12" s="13"/>
      <c r="D12" s="13"/>
      <c r="E12" s="16">
        <v>170</v>
      </c>
      <c r="I12" s="35" t="s">
        <v>25</v>
      </c>
      <c r="J12" s="35"/>
      <c r="K12" s="19" t="s">
        <v>48</v>
      </c>
      <c r="M12" s="26" t="s">
        <v>32</v>
      </c>
      <c r="N12" s="26"/>
      <c r="O12" s="22">
        <f>E9</f>
        <v>26</v>
      </c>
      <c r="P12" s="23">
        <f>E14</f>
        <v>6.5384615384615383</v>
      </c>
      <c r="Q12" s="23">
        <f>O12*P12</f>
        <v>170</v>
      </c>
    </row>
    <row r="13" spans="1:33" x14ac:dyDescent="0.3">
      <c r="A13" s="13" t="s">
        <v>21</v>
      </c>
      <c r="B13" s="13"/>
      <c r="C13" s="13"/>
      <c r="D13" s="13"/>
      <c r="E13" s="17">
        <v>26</v>
      </c>
      <c r="I13" s="13" t="s">
        <v>26</v>
      </c>
      <c r="J13" s="13"/>
      <c r="K13" s="20">
        <f>E9</f>
        <v>26</v>
      </c>
      <c r="M13" s="26" t="s">
        <v>33</v>
      </c>
      <c r="N13" s="26"/>
      <c r="O13" s="24">
        <f>W9</f>
        <v>28</v>
      </c>
      <c r="P13" s="23">
        <f>E15</f>
        <v>0.82</v>
      </c>
      <c r="Q13" s="23">
        <f>O13*P13</f>
        <v>22.959999999999997</v>
      </c>
    </row>
    <row r="14" spans="1:33" x14ac:dyDescent="0.3">
      <c r="A14" s="13" t="s">
        <v>22</v>
      </c>
      <c r="B14" s="13"/>
      <c r="C14" s="13"/>
      <c r="D14" s="13"/>
      <c r="E14" s="18">
        <f>E12/E13</f>
        <v>6.5384615384615383</v>
      </c>
      <c r="I14" s="13" t="s">
        <v>46</v>
      </c>
      <c r="J14" s="13"/>
      <c r="K14" s="21">
        <f>W9</f>
        <v>28</v>
      </c>
      <c r="M14" s="39" t="s">
        <v>34</v>
      </c>
      <c r="N14" s="25"/>
      <c r="O14" s="13"/>
      <c r="P14" s="13"/>
      <c r="Q14" s="27">
        <v>0</v>
      </c>
    </row>
    <row r="15" spans="1:33" ht="15" thickBot="1" x14ac:dyDescent="0.35">
      <c r="A15" s="13" t="s">
        <v>23</v>
      </c>
      <c r="B15" s="13"/>
      <c r="C15" s="13"/>
      <c r="D15" s="13"/>
      <c r="E15" s="16">
        <v>0.82</v>
      </c>
      <c r="I15" s="13" t="s">
        <v>27</v>
      </c>
      <c r="J15" s="13"/>
      <c r="K15" s="20">
        <f>H9</f>
        <v>0</v>
      </c>
      <c r="M15" s="40" t="s">
        <v>35</v>
      </c>
      <c r="N15" s="41"/>
      <c r="O15" s="14"/>
      <c r="P15" s="14"/>
      <c r="Q15" s="28">
        <v>0</v>
      </c>
    </row>
    <row r="16" spans="1:33" ht="15" thickTop="1" x14ac:dyDescent="0.3">
      <c r="I16" s="13" t="s">
        <v>28</v>
      </c>
      <c r="J16" s="13"/>
      <c r="K16" s="20">
        <f>K9</f>
        <v>0</v>
      </c>
      <c r="M16" s="37" t="s">
        <v>36</v>
      </c>
      <c r="N16" s="37"/>
      <c r="O16" s="38"/>
      <c r="P16" s="38"/>
      <c r="Q16" s="29">
        <f>Q12+Q13-Q14+Q15</f>
        <v>192.96</v>
      </c>
    </row>
    <row r="17" spans="9:11" x14ac:dyDescent="0.3">
      <c r="I17" s="13" t="s">
        <v>29</v>
      </c>
      <c r="J17" s="13"/>
      <c r="K17" s="20">
        <f>N9</f>
        <v>0</v>
      </c>
    </row>
    <row r="18" spans="9:11" x14ac:dyDescent="0.3">
      <c r="I18" s="13" t="s">
        <v>30</v>
      </c>
      <c r="J18" s="13"/>
      <c r="K18" s="20">
        <f>Q9</f>
        <v>5</v>
      </c>
    </row>
  </sheetData>
  <mergeCells count="2">
    <mergeCell ref="A4:B4"/>
    <mergeCell ref="A5:A8"/>
  </mergeCells>
  <conditionalFormatting sqref="C5:AG5">
    <cfRule type="cellIs" dxfId="83" priority="1" operator="equal">
      <formula>"✓"</formula>
    </cfRule>
  </conditionalFormatting>
  <conditionalFormatting sqref="C5:AG5">
    <cfRule type="cellIs" dxfId="82" priority="2" operator="equal">
      <formula>"S"</formula>
    </cfRule>
  </conditionalFormatting>
  <conditionalFormatting sqref="C5:AG5">
    <cfRule type="cellIs" dxfId="81" priority="3" operator="equal">
      <formula>"P"</formula>
    </cfRule>
  </conditionalFormatting>
  <conditionalFormatting sqref="C5:AG5">
    <cfRule type="cellIs" dxfId="80" priority="4" operator="equal">
      <formula>"V"</formula>
    </cfRule>
  </conditionalFormatting>
  <conditionalFormatting sqref="C5:AG5">
    <cfRule type="cellIs" dxfId="79" priority="5" operator="equal">
      <formula>"X"</formula>
    </cfRule>
  </conditionalFormatting>
  <conditionalFormatting sqref="C5:AG5">
    <cfRule type="cellIs" dxfId="78" priority="6" operator="equal">
      <formula>"H"</formula>
    </cfRule>
  </conditionalFormatting>
  <conditionalFormatting sqref="C8:AF8">
    <cfRule type="cellIs" dxfId="77" priority="7" operator="greaterThan">
      <formula>0</formula>
    </cfRule>
  </conditionalFormatting>
  <dataValidations count="1">
    <dataValidation type="list" allowBlank="1" showInputMessage="1" showErrorMessage="1" sqref="C5:AG5" xr:uid="{8A8A0671-F218-4F4C-9018-4A56258B7153}">
      <formula1>"✓,S,P,V,X,H"</formula1>
    </dataValidation>
  </dataValidations>
  <printOptions horizontalCentered="1"/>
  <pageMargins left="0.39370078740157483" right="0.39370078740157483" top="0.43307086614173229" bottom="0.74803149606299213" header="0.31496062992125984" footer="0.31496062992125984"/>
  <pageSetup paperSize="9" scale="47" orientation="landscape" horizontalDpi="1200" verticalDpi="1200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AE290-4F50-453B-8404-10FF38C22F89}">
  <sheetPr>
    <pageSetUpPr fitToPage="1"/>
  </sheetPr>
  <dimension ref="A1:AG18"/>
  <sheetViews>
    <sheetView showGridLines="0" zoomScale="90" zoomScaleNormal="90" workbookViewId="0">
      <pane ySplit="3" topLeftCell="A4" activePane="bottomLeft" state="frozen"/>
      <selection pane="bottomLeft" activeCell="H27" sqref="H27"/>
    </sheetView>
  </sheetViews>
  <sheetFormatPr defaultRowHeight="14.4" x14ac:dyDescent="0.3"/>
  <cols>
    <col min="1" max="1" width="27.77734375" customWidth="1"/>
    <col min="2" max="2" width="22.21875" customWidth="1"/>
    <col min="3" max="33" width="7.77734375" customWidth="1"/>
    <col min="34" max="38" width="5.5546875" customWidth="1"/>
  </cols>
  <sheetData>
    <row r="1" spans="1:33" ht="58.8" customHeight="1" x14ac:dyDescent="0.3"/>
    <row r="2" spans="1:33" ht="18" x14ac:dyDescent="0.35">
      <c r="A2" s="1"/>
      <c r="C2" s="33" t="s">
        <v>3</v>
      </c>
      <c r="D2" s="34"/>
      <c r="E2" s="2" t="s">
        <v>4</v>
      </c>
      <c r="F2" s="33" t="s">
        <v>6</v>
      </c>
      <c r="G2" s="33"/>
      <c r="H2" s="3" t="s">
        <v>5</v>
      </c>
      <c r="I2" s="33" t="s">
        <v>6</v>
      </c>
      <c r="J2" s="33"/>
      <c r="K2" s="4" t="s">
        <v>0</v>
      </c>
      <c r="L2" s="33" t="s">
        <v>7</v>
      </c>
      <c r="M2" s="33"/>
      <c r="N2" s="5" t="s">
        <v>8</v>
      </c>
      <c r="O2" s="33" t="s">
        <v>9</v>
      </c>
      <c r="P2" s="33"/>
      <c r="Q2" s="6" t="s">
        <v>10</v>
      </c>
      <c r="R2" s="33" t="s">
        <v>11</v>
      </c>
      <c r="S2" s="33"/>
      <c r="T2" s="34"/>
      <c r="U2" s="34"/>
      <c r="V2" s="30" t="s">
        <v>1</v>
      </c>
    </row>
    <row r="4" spans="1:33" ht="19.95" customHeight="1" x14ac:dyDescent="0.3">
      <c r="A4" s="8" t="s">
        <v>52</v>
      </c>
      <c r="B4" s="8"/>
      <c r="C4" s="10">
        <v>1</v>
      </c>
      <c r="D4" s="10">
        <v>2</v>
      </c>
      <c r="E4" s="10">
        <v>3</v>
      </c>
      <c r="F4" s="10">
        <v>4</v>
      </c>
      <c r="G4" s="10">
        <v>5</v>
      </c>
      <c r="H4" s="10">
        <v>6</v>
      </c>
      <c r="I4" s="9">
        <v>7</v>
      </c>
      <c r="J4" s="10">
        <v>8</v>
      </c>
      <c r="K4" s="10">
        <v>9</v>
      </c>
      <c r="L4" s="10">
        <v>10</v>
      </c>
      <c r="M4" s="10">
        <v>11</v>
      </c>
      <c r="N4" s="10">
        <v>12</v>
      </c>
      <c r="O4" s="10">
        <v>13</v>
      </c>
      <c r="P4" s="9">
        <v>14</v>
      </c>
      <c r="Q4" s="10">
        <v>15</v>
      </c>
      <c r="R4" s="10">
        <v>16</v>
      </c>
      <c r="S4" s="10">
        <v>17</v>
      </c>
      <c r="T4" s="10">
        <v>18</v>
      </c>
      <c r="U4" s="10">
        <v>19</v>
      </c>
      <c r="V4" s="10">
        <v>20</v>
      </c>
      <c r="W4" s="9">
        <v>21</v>
      </c>
      <c r="X4" s="10">
        <v>22</v>
      </c>
      <c r="Y4" s="10">
        <v>23</v>
      </c>
      <c r="Z4" s="10">
        <v>24</v>
      </c>
      <c r="AA4" s="10">
        <v>25</v>
      </c>
      <c r="AB4" s="10">
        <v>26</v>
      </c>
      <c r="AC4" s="10">
        <v>27</v>
      </c>
      <c r="AD4" s="9">
        <v>28</v>
      </c>
      <c r="AE4" s="10">
        <v>29</v>
      </c>
      <c r="AF4" s="10">
        <v>30</v>
      </c>
      <c r="AG4" s="48"/>
    </row>
    <row r="5" spans="1:33" ht="19.95" customHeight="1" x14ac:dyDescent="0.3">
      <c r="A5" s="32" t="s">
        <v>12</v>
      </c>
      <c r="B5" s="31" t="s">
        <v>13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49"/>
    </row>
    <row r="6" spans="1:33" ht="19.95" customHeight="1" x14ac:dyDescent="0.3">
      <c r="A6" s="32"/>
      <c r="B6" s="31" t="s">
        <v>38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50"/>
    </row>
    <row r="7" spans="1:33" ht="19.95" customHeight="1" x14ac:dyDescent="0.3">
      <c r="A7" s="32"/>
      <c r="B7" s="31" t="s">
        <v>39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50"/>
    </row>
    <row r="8" spans="1:33" ht="19.95" customHeight="1" x14ac:dyDescent="0.3">
      <c r="A8" s="32"/>
      <c r="B8" s="31" t="s">
        <v>2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51"/>
    </row>
    <row r="9" spans="1:33" x14ac:dyDescent="0.3">
      <c r="A9" s="42"/>
      <c r="B9" s="43" t="s">
        <v>14</v>
      </c>
      <c r="C9" s="44" t="s">
        <v>3</v>
      </c>
      <c r="D9" s="45"/>
      <c r="E9" s="46">
        <f>COUNTIF($C$5:$AG$5,"✓")</f>
        <v>0</v>
      </c>
      <c r="F9" s="44" t="s">
        <v>15</v>
      </c>
      <c r="G9" s="45"/>
      <c r="H9" s="46">
        <f>COUNTIF($C$5:$AG$5,"S")</f>
        <v>0</v>
      </c>
      <c r="I9" s="44" t="s">
        <v>16</v>
      </c>
      <c r="J9" s="45"/>
      <c r="K9" s="46">
        <f>COUNTIF($C$5:$AG$5,"P")</f>
        <v>0</v>
      </c>
      <c r="L9" s="44" t="s">
        <v>7</v>
      </c>
      <c r="M9" s="45"/>
      <c r="N9" s="46">
        <f>COUNTIF($C$5:$AG$5,"V")</f>
        <v>0</v>
      </c>
      <c r="O9" s="44" t="s">
        <v>9</v>
      </c>
      <c r="P9" s="45"/>
      <c r="Q9" s="46">
        <f>COUNTIF($C$5:$AG$5,"X")</f>
        <v>0</v>
      </c>
      <c r="R9" s="44" t="s">
        <v>17</v>
      </c>
      <c r="S9" s="45"/>
      <c r="T9" s="46">
        <f>COUNTIF($C$5:$AG$5,"H")</f>
        <v>0</v>
      </c>
      <c r="U9" s="44" t="s">
        <v>18</v>
      </c>
      <c r="V9" s="45"/>
      <c r="W9" s="47">
        <f>SUM(C8:AG8)</f>
        <v>0</v>
      </c>
      <c r="X9" s="42"/>
      <c r="Y9" s="42"/>
      <c r="Z9" s="42"/>
      <c r="AA9" s="42"/>
      <c r="AB9" s="42"/>
      <c r="AC9" s="42"/>
      <c r="AD9" s="42"/>
      <c r="AE9" s="42"/>
      <c r="AF9" s="42"/>
      <c r="AG9" s="42"/>
    </row>
    <row r="11" spans="1:33" x14ac:dyDescent="0.3">
      <c r="A11" s="15" t="s">
        <v>19</v>
      </c>
      <c r="B11" s="13"/>
      <c r="C11" s="13"/>
      <c r="D11" s="13"/>
      <c r="E11" s="13"/>
      <c r="I11" s="35" t="s">
        <v>24</v>
      </c>
      <c r="J11" s="36"/>
      <c r="K11" s="36"/>
      <c r="M11" s="35" t="s">
        <v>31</v>
      </c>
      <c r="N11" s="35"/>
      <c r="O11" s="36"/>
      <c r="P11" s="36"/>
      <c r="Q11" s="36"/>
    </row>
    <row r="12" spans="1:33" x14ac:dyDescent="0.3">
      <c r="A12" s="13" t="s">
        <v>20</v>
      </c>
      <c r="B12" s="13"/>
      <c r="C12" s="13"/>
      <c r="D12" s="13"/>
      <c r="E12" s="16">
        <v>170</v>
      </c>
      <c r="I12" s="35" t="s">
        <v>25</v>
      </c>
      <c r="J12" s="35"/>
      <c r="K12" s="19" t="s">
        <v>48</v>
      </c>
      <c r="M12" s="26" t="s">
        <v>32</v>
      </c>
      <c r="N12" s="26"/>
      <c r="O12" s="22">
        <f>E9</f>
        <v>0</v>
      </c>
      <c r="P12" s="23">
        <f>E14</f>
        <v>6.5384615384615383</v>
      </c>
      <c r="Q12" s="23">
        <f>O12*P12</f>
        <v>0</v>
      </c>
    </row>
    <row r="13" spans="1:33" x14ac:dyDescent="0.3">
      <c r="A13" s="13" t="s">
        <v>21</v>
      </c>
      <c r="B13" s="13"/>
      <c r="C13" s="13"/>
      <c r="D13" s="13"/>
      <c r="E13" s="17">
        <v>26</v>
      </c>
      <c r="I13" s="13" t="s">
        <v>26</v>
      </c>
      <c r="J13" s="13"/>
      <c r="K13" s="20">
        <f>E9</f>
        <v>0</v>
      </c>
      <c r="M13" s="26" t="s">
        <v>33</v>
      </c>
      <c r="N13" s="26"/>
      <c r="O13" s="24">
        <f>W9</f>
        <v>0</v>
      </c>
      <c r="P13" s="23">
        <f>E15</f>
        <v>0.82</v>
      </c>
      <c r="Q13" s="23">
        <f>O13*P13</f>
        <v>0</v>
      </c>
    </row>
    <row r="14" spans="1:33" x14ac:dyDescent="0.3">
      <c r="A14" s="13" t="s">
        <v>22</v>
      </c>
      <c r="B14" s="13"/>
      <c r="C14" s="13"/>
      <c r="D14" s="13"/>
      <c r="E14" s="18">
        <f>E12/E13</f>
        <v>6.5384615384615383</v>
      </c>
      <c r="I14" s="13" t="s">
        <v>46</v>
      </c>
      <c r="J14" s="13"/>
      <c r="K14" s="21">
        <f>W9</f>
        <v>0</v>
      </c>
      <c r="M14" s="39" t="s">
        <v>34</v>
      </c>
      <c r="N14" s="25"/>
      <c r="O14" s="13"/>
      <c r="P14" s="13"/>
      <c r="Q14" s="27">
        <v>0</v>
      </c>
    </row>
    <row r="15" spans="1:33" ht="15" thickBot="1" x14ac:dyDescent="0.35">
      <c r="A15" s="13" t="s">
        <v>23</v>
      </c>
      <c r="B15" s="13"/>
      <c r="C15" s="13"/>
      <c r="D15" s="13"/>
      <c r="E15" s="16">
        <v>0.82</v>
      </c>
      <c r="I15" s="13" t="s">
        <v>27</v>
      </c>
      <c r="J15" s="13"/>
      <c r="K15" s="20">
        <f>H9</f>
        <v>0</v>
      </c>
      <c r="M15" s="40" t="s">
        <v>35</v>
      </c>
      <c r="N15" s="41"/>
      <c r="O15" s="14"/>
      <c r="P15" s="14"/>
      <c r="Q15" s="28">
        <v>0</v>
      </c>
    </row>
    <row r="16" spans="1:33" ht="15" thickTop="1" x14ac:dyDescent="0.3">
      <c r="I16" s="13" t="s">
        <v>28</v>
      </c>
      <c r="J16" s="13"/>
      <c r="K16" s="20">
        <f>K9</f>
        <v>0</v>
      </c>
      <c r="M16" s="37" t="s">
        <v>36</v>
      </c>
      <c r="N16" s="37"/>
      <c r="O16" s="38"/>
      <c r="P16" s="38"/>
      <c r="Q16" s="29">
        <f>Q12+Q13-Q14+Q15</f>
        <v>0</v>
      </c>
    </row>
    <row r="17" spans="9:11" x14ac:dyDescent="0.3">
      <c r="I17" s="13" t="s">
        <v>29</v>
      </c>
      <c r="J17" s="13"/>
      <c r="K17" s="20">
        <f>N9</f>
        <v>0</v>
      </c>
    </row>
    <row r="18" spans="9:11" x14ac:dyDescent="0.3">
      <c r="I18" s="13" t="s">
        <v>30</v>
      </c>
      <c r="J18" s="13"/>
      <c r="K18" s="20">
        <f>Q9</f>
        <v>0</v>
      </c>
    </row>
  </sheetData>
  <mergeCells count="2">
    <mergeCell ref="A4:B4"/>
    <mergeCell ref="A5:A8"/>
  </mergeCells>
  <conditionalFormatting sqref="C5:AG5">
    <cfRule type="cellIs" dxfId="48" priority="1" operator="equal">
      <formula>"✓"</formula>
    </cfRule>
  </conditionalFormatting>
  <conditionalFormatting sqref="C5:AG5">
    <cfRule type="cellIs" dxfId="47" priority="2" operator="equal">
      <formula>"S"</formula>
    </cfRule>
  </conditionalFormatting>
  <conditionalFormatting sqref="C5:AG5">
    <cfRule type="cellIs" dxfId="46" priority="3" operator="equal">
      <formula>"P"</formula>
    </cfRule>
  </conditionalFormatting>
  <conditionalFormatting sqref="C5:AG5">
    <cfRule type="cellIs" dxfId="45" priority="4" operator="equal">
      <formula>"V"</formula>
    </cfRule>
  </conditionalFormatting>
  <conditionalFormatting sqref="C5:AG5">
    <cfRule type="cellIs" dxfId="44" priority="5" operator="equal">
      <formula>"X"</formula>
    </cfRule>
  </conditionalFormatting>
  <conditionalFormatting sqref="C5:AG5">
    <cfRule type="cellIs" dxfId="43" priority="6" operator="equal">
      <formula>"H"</formula>
    </cfRule>
  </conditionalFormatting>
  <conditionalFormatting sqref="C8:AF8">
    <cfRule type="cellIs" dxfId="42" priority="7" operator="greaterThan">
      <formula>0</formula>
    </cfRule>
  </conditionalFormatting>
  <dataValidations count="1">
    <dataValidation type="list" allowBlank="1" showInputMessage="1" showErrorMessage="1" sqref="C5:AF5" xr:uid="{B6E5F431-B787-4385-9D05-F056E6F9E033}">
      <formula1>"✓,S,P,V,X,H"</formula1>
    </dataValidation>
  </dataValidations>
  <printOptions horizontalCentered="1"/>
  <pageMargins left="0.39370078740157483" right="0.39370078740157483" top="0.43307086614173229" bottom="0.74803149606299213" header="0.31496062992125984" footer="0.31496062992125984"/>
  <pageSetup paperSize="9" scale="47" orientation="landscape" horizontalDpi="1200" verticalDpi="1200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0DDA4-554A-4D63-961F-4B891C178FC6}">
  <sheetPr>
    <pageSetUpPr fitToPage="1"/>
  </sheetPr>
  <dimension ref="A1:AG18"/>
  <sheetViews>
    <sheetView showGridLines="0" zoomScale="90" zoomScaleNormal="90" workbookViewId="0">
      <pane ySplit="3" topLeftCell="A4" activePane="bottomLeft" state="frozen"/>
      <selection pane="bottomLeft" activeCell="H27" sqref="H27"/>
    </sheetView>
  </sheetViews>
  <sheetFormatPr defaultRowHeight="14.4" x14ac:dyDescent="0.3"/>
  <cols>
    <col min="1" max="1" width="27.77734375" customWidth="1"/>
    <col min="2" max="2" width="22.21875" customWidth="1"/>
    <col min="3" max="33" width="7.77734375" customWidth="1"/>
    <col min="34" max="38" width="5.5546875" customWidth="1"/>
  </cols>
  <sheetData>
    <row r="1" spans="1:33" ht="58.8" customHeight="1" x14ac:dyDescent="0.3"/>
    <row r="2" spans="1:33" ht="18" x14ac:dyDescent="0.35">
      <c r="A2" s="1"/>
      <c r="C2" s="33" t="s">
        <v>3</v>
      </c>
      <c r="D2" s="34"/>
      <c r="E2" s="2" t="s">
        <v>4</v>
      </c>
      <c r="F2" s="33" t="s">
        <v>6</v>
      </c>
      <c r="G2" s="33"/>
      <c r="H2" s="3" t="s">
        <v>5</v>
      </c>
      <c r="I2" s="33" t="s">
        <v>6</v>
      </c>
      <c r="J2" s="33"/>
      <c r="K2" s="4" t="s">
        <v>0</v>
      </c>
      <c r="L2" s="33" t="s">
        <v>7</v>
      </c>
      <c r="M2" s="33"/>
      <c r="N2" s="5" t="s">
        <v>8</v>
      </c>
      <c r="O2" s="33" t="s">
        <v>9</v>
      </c>
      <c r="P2" s="33"/>
      <c r="Q2" s="6" t="s">
        <v>10</v>
      </c>
      <c r="R2" s="33" t="s">
        <v>11</v>
      </c>
      <c r="S2" s="33"/>
      <c r="T2" s="34"/>
      <c r="U2" s="34"/>
      <c r="V2" s="30" t="s">
        <v>1</v>
      </c>
    </row>
    <row r="4" spans="1:33" ht="19.95" customHeight="1" x14ac:dyDescent="0.3">
      <c r="A4" s="8" t="s">
        <v>53</v>
      </c>
      <c r="B4" s="8"/>
      <c r="C4" s="10">
        <v>1</v>
      </c>
      <c r="D4" s="10">
        <v>2</v>
      </c>
      <c r="E4" s="10">
        <v>3</v>
      </c>
      <c r="F4" s="10">
        <v>4</v>
      </c>
      <c r="G4" s="9">
        <v>5</v>
      </c>
      <c r="H4" s="10">
        <v>6</v>
      </c>
      <c r="I4" s="10">
        <v>7</v>
      </c>
      <c r="J4" s="10">
        <v>8</v>
      </c>
      <c r="K4" s="10">
        <v>9</v>
      </c>
      <c r="L4" s="10">
        <v>10</v>
      </c>
      <c r="M4" s="10">
        <v>11</v>
      </c>
      <c r="N4" s="9">
        <v>12</v>
      </c>
      <c r="O4" s="10">
        <v>13</v>
      </c>
      <c r="P4" s="10">
        <v>14</v>
      </c>
      <c r="Q4" s="10">
        <v>15</v>
      </c>
      <c r="R4" s="10">
        <v>16</v>
      </c>
      <c r="S4" s="10">
        <v>17</v>
      </c>
      <c r="T4" s="10">
        <v>18</v>
      </c>
      <c r="U4" s="9">
        <v>19</v>
      </c>
      <c r="V4" s="10">
        <v>20</v>
      </c>
      <c r="W4" s="10">
        <v>21</v>
      </c>
      <c r="X4" s="10">
        <v>22</v>
      </c>
      <c r="Y4" s="10">
        <v>23</v>
      </c>
      <c r="Z4" s="10">
        <v>24</v>
      </c>
      <c r="AA4" s="10">
        <v>25</v>
      </c>
      <c r="AB4" s="9">
        <v>26</v>
      </c>
      <c r="AC4" s="10">
        <v>27</v>
      </c>
      <c r="AD4" s="10">
        <v>28</v>
      </c>
      <c r="AE4" s="10">
        <v>29</v>
      </c>
      <c r="AF4" s="10">
        <v>30</v>
      </c>
      <c r="AG4" s="10">
        <v>31</v>
      </c>
    </row>
    <row r="5" spans="1:33" ht="19.95" customHeight="1" x14ac:dyDescent="0.3">
      <c r="A5" s="32" t="s">
        <v>12</v>
      </c>
      <c r="B5" s="31" t="s">
        <v>13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</row>
    <row r="6" spans="1:33" ht="19.95" customHeight="1" x14ac:dyDescent="0.3">
      <c r="A6" s="32"/>
      <c r="B6" s="31" t="s">
        <v>38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</row>
    <row r="7" spans="1:33" ht="19.95" customHeight="1" x14ac:dyDescent="0.3">
      <c r="A7" s="32"/>
      <c r="B7" s="31" t="s">
        <v>39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</row>
    <row r="8" spans="1:33" ht="19.95" customHeight="1" x14ac:dyDescent="0.3">
      <c r="A8" s="32"/>
      <c r="B8" s="31" t="s">
        <v>2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</row>
    <row r="9" spans="1:33" x14ac:dyDescent="0.3">
      <c r="A9" s="42"/>
      <c r="B9" s="43" t="s">
        <v>14</v>
      </c>
      <c r="C9" s="44" t="s">
        <v>3</v>
      </c>
      <c r="D9" s="45"/>
      <c r="E9" s="46">
        <f>COUNTIF($C$5:$AG$5,"✓")</f>
        <v>0</v>
      </c>
      <c r="F9" s="44" t="s">
        <v>15</v>
      </c>
      <c r="G9" s="45"/>
      <c r="H9" s="46">
        <f>COUNTIF($C$5:$AG$5,"S")</f>
        <v>0</v>
      </c>
      <c r="I9" s="44" t="s">
        <v>16</v>
      </c>
      <c r="J9" s="45"/>
      <c r="K9" s="46">
        <f>COUNTIF($C$5:$AG$5,"P")</f>
        <v>0</v>
      </c>
      <c r="L9" s="44" t="s">
        <v>7</v>
      </c>
      <c r="M9" s="45"/>
      <c r="N9" s="46">
        <f>COUNTIF($C$5:$AG$5,"V")</f>
        <v>0</v>
      </c>
      <c r="O9" s="44" t="s">
        <v>9</v>
      </c>
      <c r="P9" s="45"/>
      <c r="Q9" s="46">
        <f>COUNTIF($C$5:$AG$5,"X")</f>
        <v>0</v>
      </c>
      <c r="R9" s="44" t="s">
        <v>17</v>
      </c>
      <c r="S9" s="45"/>
      <c r="T9" s="46">
        <f>COUNTIF($C$5:$AG$5,"H")</f>
        <v>0</v>
      </c>
      <c r="U9" s="44" t="s">
        <v>18</v>
      </c>
      <c r="V9" s="45"/>
      <c r="W9" s="47">
        <f>SUM(C8:AG8)</f>
        <v>0</v>
      </c>
      <c r="X9" s="42"/>
      <c r="Y9" s="42"/>
      <c r="Z9" s="42"/>
      <c r="AA9" s="42"/>
      <c r="AB9" s="42"/>
      <c r="AC9" s="42"/>
      <c r="AD9" s="42"/>
      <c r="AE9" s="42"/>
      <c r="AF9" s="42"/>
      <c r="AG9" s="42"/>
    </row>
    <row r="11" spans="1:33" x14ac:dyDescent="0.3">
      <c r="A11" s="15" t="s">
        <v>19</v>
      </c>
      <c r="B11" s="13"/>
      <c r="C11" s="13"/>
      <c r="D11" s="13"/>
      <c r="E11" s="13"/>
      <c r="I11" s="35" t="s">
        <v>24</v>
      </c>
      <c r="J11" s="36"/>
      <c r="K11" s="36"/>
      <c r="M11" s="35" t="s">
        <v>31</v>
      </c>
      <c r="N11" s="35"/>
      <c r="O11" s="36"/>
      <c r="P11" s="36"/>
      <c r="Q11" s="36"/>
    </row>
    <row r="12" spans="1:33" x14ac:dyDescent="0.3">
      <c r="A12" s="13" t="s">
        <v>20</v>
      </c>
      <c r="B12" s="13"/>
      <c r="C12" s="13"/>
      <c r="D12" s="13"/>
      <c r="E12" s="16">
        <v>170</v>
      </c>
      <c r="I12" s="35" t="s">
        <v>25</v>
      </c>
      <c r="J12" s="35"/>
      <c r="K12" s="19" t="s">
        <v>48</v>
      </c>
      <c r="M12" s="26" t="s">
        <v>32</v>
      </c>
      <c r="N12" s="26"/>
      <c r="O12" s="22">
        <f>E9</f>
        <v>0</v>
      </c>
      <c r="P12" s="23">
        <f>E14</f>
        <v>6.5384615384615383</v>
      </c>
      <c r="Q12" s="23">
        <f>O12*P12</f>
        <v>0</v>
      </c>
    </row>
    <row r="13" spans="1:33" x14ac:dyDescent="0.3">
      <c r="A13" s="13" t="s">
        <v>21</v>
      </c>
      <c r="B13" s="13"/>
      <c r="C13" s="13"/>
      <c r="D13" s="13"/>
      <c r="E13" s="17">
        <v>26</v>
      </c>
      <c r="I13" s="13" t="s">
        <v>26</v>
      </c>
      <c r="J13" s="13"/>
      <c r="K13" s="20">
        <f>E9</f>
        <v>0</v>
      </c>
      <c r="M13" s="26" t="s">
        <v>33</v>
      </c>
      <c r="N13" s="26"/>
      <c r="O13" s="24">
        <f>W9</f>
        <v>0</v>
      </c>
      <c r="P13" s="23">
        <f>E15</f>
        <v>0.82</v>
      </c>
      <c r="Q13" s="23">
        <f>O13*P13</f>
        <v>0</v>
      </c>
    </row>
    <row r="14" spans="1:33" x14ac:dyDescent="0.3">
      <c r="A14" s="13" t="s">
        <v>22</v>
      </c>
      <c r="B14" s="13"/>
      <c r="C14" s="13"/>
      <c r="D14" s="13"/>
      <c r="E14" s="18">
        <f>E12/E13</f>
        <v>6.5384615384615383</v>
      </c>
      <c r="I14" s="13" t="s">
        <v>46</v>
      </c>
      <c r="J14" s="13"/>
      <c r="K14" s="21">
        <f>W9</f>
        <v>0</v>
      </c>
      <c r="M14" s="39" t="s">
        <v>34</v>
      </c>
      <c r="N14" s="25"/>
      <c r="O14" s="13"/>
      <c r="P14" s="13"/>
      <c r="Q14" s="27">
        <v>0</v>
      </c>
    </row>
    <row r="15" spans="1:33" ht="15" thickBot="1" x14ac:dyDescent="0.35">
      <c r="A15" s="13" t="s">
        <v>23</v>
      </c>
      <c r="B15" s="13"/>
      <c r="C15" s="13"/>
      <c r="D15" s="13"/>
      <c r="E15" s="16">
        <v>0.82</v>
      </c>
      <c r="I15" s="13" t="s">
        <v>27</v>
      </c>
      <c r="J15" s="13"/>
      <c r="K15" s="20">
        <f>H9</f>
        <v>0</v>
      </c>
      <c r="M15" s="40" t="s">
        <v>35</v>
      </c>
      <c r="N15" s="41"/>
      <c r="O15" s="14"/>
      <c r="P15" s="14"/>
      <c r="Q15" s="28">
        <v>0</v>
      </c>
    </row>
    <row r="16" spans="1:33" ht="15" thickTop="1" x14ac:dyDescent="0.3">
      <c r="I16" s="13" t="s">
        <v>28</v>
      </c>
      <c r="J16" s="13"/>
      <c r="K16" s="20">
        <f>K9</f>
        <v>0</v>
      </c>
      <c r="M16" s="37" t="s">
        <v>36</v>
      </c>
      <c r="N16" s="37"/>
      <c r="O16" s="38"/>
      <c r="P16" s="38"/>
      <c r="Q16" s="29">
        <f>Q12+Q13-Q14+Q15</f>
        <v>0</v>
      </c>
    </row>
    <row r="17" spans="9:11" x14ac:dyDescent="0.3">
      <c r="I17" s="13" t="s">
        <v>29</v>
      </c>
      <c r="J17" s="13"/>
      <c r="K17" s="20">
        <f>N9</f>
        <v>0</v>
      </c>
    </row>
    <row r="18" spans="9:11" x14ac:dyDescent="0.3">
      <c r="I18" s="13" t="s">
        <v>30</v>
      </c>
      <c r="J18" s="13"/>
      <c r="K18" s="20">
        <f>Q9</f>
        <v>0</v>
      </c>
    </row>
  </sheetData>
  <mergeCells count="2">
    <mergeCell ref="A4:B4"/>
    <mergeCell ref="A5:A8"/>
  </mergeCells>
  <conditionalFormatting sqref="C5:AG5">
    <cfRule type="cellIs" dxfId="41" priority="1" operator="equal">
      <formula>"✓"</formula>
    </cfRule>
  </conditionalFormatting>
  <conditionalFormatting sqref="C5:AG5">
    <cfRule type="cellIs" dxfId="40" priority="2" operator="equal">
      <formula>"S"</formula>
    </cfRule>
  </conditionalFormatting>
  <conditionalFormatting sqref="C5:AG5">
    <cfRule type="cellIs" dxfId="39" priority="3" operator="equal">
      <formula>"P"</formula>
    </cfRule>
  </conditionalFormatting>
  <conditionalFormatting sqref="C5:AG5">
    <cfRule type="cellIs" dxfId="38" priority="4" operator="equal">
      <formula>"V"</formula>
    </cfRule>
  </conditionalFormatting>
  <conditionalFormatting sqref="C5:AG5">
    <cfRule type="cellIs" dxfId="37" priority="5" operator="equal">
      <formula>"X"</formula>
    </cfRule>
  </conditionalFormatting>
  <conditionalFormatting sqref="C5:AG5">
    <cfRule type="cellIs" dxfId="36" priority="6" operator="equal">
      <formula>"H"</formula>
    </cfRule>
  </conditionalFormatting>
  <conditionalFormatting sqref="C8:AF8">
    <cfRule type="cellIs" dxfId="35" priority="7" operator="greaterThan">
      <formula>0</formula>
    </cfRule>
  </conditionalFormatting>
  <dataValidations count="1">
    <dataValidation type="list" allowBlank="1" showInputMessage="1" showErrorMessage="1" sqref="C5:AG5" xr:uid="{21440803-377F-46AB-811C-9257A2FDFE17}">
      <formula1>"✓,S,P,V,X,H"</formula1>
    </dataValidation>
  </dataValidations>
  <printOptions horizontalCentered="1"/>
  <pageMargins left="0.39370078740157483" right="0.39370078740157483" top="0.43307086614173229" bottom="0.74803149606299213" header="0.31496062992125984" footer="0.31496062992125984"/>
  <pageSetup paperSize="9" scale="47" orientation="landscape" horizontalDpi="1200" verticalDpi="1200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1E887-9943-4C23-8515-71F28F8B2170}">
  <sheetPr>
    <pageSetUpPr fitToPage="1"/>
  </sheetPr>
  <dimension ref="A1:AG18"/>
  <sheetViews>
    <sheetView showGridLines="0" zoomScale="90" zoomScaleNormal="90" workbookViewId="0">
      <pane ySplit="3" topLeftCell="A4" activePane="bottomLeft" state="frozen"/>
      <selection pane="bottomLeft" activeCell="H27" sqref="H27"/>
    </sheetView>
  </sheetViews>
  <sheetFormatPr defaultRowHeight="14.4" x14ac:dyDescent="0.3"/>
  <cols>
    <col min="1" max="1" width="27.77734375" customWidth="1"/>
    <col min="2" max="2" width="22.21875" customWidth="1"/>
    <col min="3" max="33" width="7.77734375" customWidth="1"/>
    <col min="34" max="38" width="5.5546875" customWidth="1"/>
  </cols>
  <sheetData>
    <row r="1" spans="1:33" ht="58.8" customHeight="1" x14ac:dyDescent="0.3"/>
    <row r="2" spans="1:33" ht="18" x14ac:dyDescent="0.35">
      <c r="A2" s="1"/>
      <c r="C2" s="33" t="s">
        <v>3</v>
      </c>
      <c r="D2" s="34"/>
      <c r="E2" s="2" t="s">
        <v>4</v>
      </c>
      <c r="F2" s="33" t="s">
        <v>6</v>
      </c>
      <c r="G2" s="33"/>
      <c r="H2" s="3" t="s">
        <v>5</v>
      </c>
      <c r="I2" s="33" t="s">
        <v>6</v>
      </c>
      <c r="J2" s="33"/>
      <c r="K2" s="4" t="s">
        <v>0</v>
      </c>
      <c r="L2" s="33" t="s">
        <v>7</v>
      </c>
      <c r="M2" s="33"/>
      <c r="N2" s="5" t="s">
        <v>8</v>
      </c>
      <c r="O2" s="33" t="s">
        <v>9</v>
      </c>
      <c r="P2" s="33"/>
      <c r="Q2" s="6" t="s">
        <v>10</v>
      </c>
      <c r="R2" s="33" t="s">
        <v>11</v>
      </c>
      <c r="S2" s="33"/>
      <c r="T2" s="34"/>
      <c r="U2" s="34"/>
      <c r="V2" s="30" t="s">
        <v>1</v>
      </c>
    </row>
    <row r="4" spans="1:33" ht="19.95" customHeight="1" x14ac:dyDescent="0.3">
      <c r="A4" s="8" t="s">
        <v>54</v>
      </c>
      <c r="B4" s="8"/>
      <c r="C4" s="10">
        <v>1</v>
      </c>
      <c r="D4" s="9">
        <v>2</v>
      </c>
      <c r="E4" s="10">
        <v>3</v>
      </c>
      <c r="F4" s="10">
        <v>4</v>
      </c>
      <c r="G4" s="10">
        <v>5</v>
      </c>
      <c r="H4" s="10">
        <v>6</v>
      </c>
      <c r="I4" s="10">
        <v>7</v>
      </c>
      <c r="J4" s="10">
        <v>8</v>
      </c>
      <c r="K4" s="9">
        <v>9</v>
      </c>
      <c r="L4" s="10">
        <v>10</v>
      </c>
      <c r="M4" s="10">
        <v>11</v>
      </c>
      <c r="N4" s="10">
        <v>12</v>
      </c>
      <c r="O4" s="10">
        <v>13</v>
      </c>
      <c r="P4" s="10">
        <v>14</v>
      </c>
      <c r="Q4" s="10">
        <v>15</v>
      </c>
      <c r="R4" s="9">
        <v>16</v>
      </c>
      <c r="S4" s="10">
        <v>17</v>
      </c>
      <c r="T4" s="10">
        <v>18</v>
      </c>
      <c r="U4" s="10">
        <v>19</v>
      </c>
      <c r="V4" s="10">
        <v>20</v>
      </c>
      <c r="W4" s="10">
        <v>21</v>
      </c>
      <c r="X4" s="10">
        <v>22</v>
      </c>
      <c r="Y4" s="9">
        <v>23</v>
      </c>
      <c r="Z4" s="10">
        <v>24</v>
      </c>
      <c r="AA4" s="10">
        <v>25</v>
      </c>
      <c r="AB4" s="10">
        <v>26</v>
      </c>
      <c r="AC4" s="10">
        <v>27</v>
      </c>
      <c r="AD4" s="10">
        <v>28</v>
      </c>
      <c r="AE4" s="10">
        <v>29</v>
      </c>
      <c r="AF4" s="9">
        <v>30</v>
      </c>
      <c r="AG4" s="10">
        <v>31</v>
      </c>
    </row>
    <row r="5" spans="1:33" ht="19.95" customHeight="1" x14ac:dyDescent="0.3">
      <c r="A5" s="32" t="s">
        <v>12</v>
      </c>
      <c r="B5" s="31" t="s">
        <v>13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</row>
    <row r="6" spans="1:33" ht="19.95" customHeight="1" x14ac:dyDescent="0.3">
      <c r="A6" s="32"/>
      <c r="B6" s="31" t="s">
        <v>38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</row>
    <row r="7" spans="1:33" ht="19.95" customHeight="1" x14ac:dyDescent="0.3">
      <c r="A7" s="32"/>
      <c r="B7" s="31" t="s">
        <v>39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</row>
    <row r="8" spans="1:33" ht="19.95" customHeight="1" x14ac:dyDescent="0.3">
      <c r="A8" s="32"/>
      <c r="B8" s="31" t="s">
        <v>2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</row>
    <row r="9" spans="1:33" x14ac:dyDescent="0.3">
      <c r="A9" s="42"/>
      <c r="B9" s="43" t="s">
        <v>14</v>
      </c>
      <c r="C9" s="44" t="s">
        <v>3</v>
      </c>
      <c r="D9" s="45"/>
      <c r="E9" s="46">
        <f>COUNTIF($C$5:$AG$5,"✓")</f>
        <v>0</v>
      </c>
      <c r="F9" s="44" t="s">
        <v>15</v>
      </c>
      <c r="G9" s="45"/>
      <c r="H9" s="46">
        <f>COUNTIF($C$5:$AG$5,"S")</f>
        <v>0</v>
      </c>
      <c r="I9" s="44" t="s">
        <v>16</v>
      </c>
      <c r="J9" s="45"/>
      <c r="K9" s="46">
        <f>COUNTIF($C$5:$AG$5,"P")</f>
        <v>0</v>
      </c>
      <c r="L9" s="44" t="s">
        <v>7</v>
      </c>
      <c r="M9" s="45"/>
      <c r="N9" s="46">
        <f>COUNTIF($C$5:$AG$5,"V")</f>
        <v>0</v>
      </c>
      <c r="O9" s="44" t="s">
        <v>9</v>
      </c>
      <c r="P9" s="45"/>
      <c r="Q9" s="46">
        <f>COUNTIF($C$5:$AG$5,"X")</f>
        <v>0</v>
      </c>
      <c r="R9" s="44" t="s">
        <v>17</v>
      </c>
      <c r="S9" s="45"/>
      <c r="T9" s="46">
        <f>COUNTIF($C$5:$AG$5,"H")</f>
        <v>0</v>
      </c>
      <c r="U9" s="44" t="s">
        <v>18</v>
      </c>
      <c r="V9" s="45"/>
      <c r="W9" s="47">
        <f>SUM(C8:AG8)</f>
        <v>0</v>
      </c>
      <c r="X9" s="42"/>
      <c r="Y9" s="42"/>
      <c r="Z9" s="42"/>
      <c r="AA9" s="42"/>
      <c r="AB9" s="42"/>
      <c r="AC9" s="42"/>
      <c r="AD9" s="42"/>
      <c r="AE9" s="42"/>
      <c r="AF9" s="42"/>
      <c r="AG9" s="42"/>
    </row>
    <row r="11" spans="1:33" x14ac:dyDescent="0.3">
      <c r="A11" s="15" t="s">
        <v>19</v>
      </c>
      <c r="B11" s="13"/>
      <c r="C11" s="13"/>
      <c r="D11" s="13"/>
      <c r="E11" s="13"/>
      <c r="I11" s="35" t="s">
        <v>24</v>
      </c>
      <c r="J11" s="36"/>
      <c r="K11" s="36"/>
      <c r="M11" s="35" t="s">
        <v>31</v>
      </c>
      <c r="N11" s="35"/>
      <c r="O11" s="36"/>
      <c r="P11" s="36"/>
      <c r="Q11" s="36"/>
    </row>
    <row r="12" spans="1:33" x14ac:dyDescent="0.3">
      <c r="A12" s="13" t="s">
        <v>20</v>
      </c>
      <c r="B12" s="13"/>
      <c r="C12" s="13"/>
      <c r="D12" s="13"/>
      <c r="E12" s="16">
        <v>170</v>
      </c>
      <c r="I12" s="35" t="s">
        <v>25</v>
      </c>
      <c r="J12" s="35"/>
      <c r="K12" s="19" t="s">
        <v>48</v>
      </c>
      <c r="M12" s="26" t="s">
        <v>32</v>
      </c>
      <c r="N12" s="26"/>
      <c r="O12" s="22">
        <f>E9</f>
        <v>0</v>
      </c>
      <c r="P12" s="23">
        <f>E14</f>
        <v>6.5384615384615383</v>
      </c>
      <c r="Q12" s="23">
        <f>O12*P12</f>
        <v>0</v>
      </c>
    </row>
    <row r="13" spans="1:33" x14ac:dyDescent="0.3">
      <c r="A13" s="13" t="s">
        <v>21</v>
      </c>
      <c r="B13" s="13"/>
      <c r="C13" s="13"/>
      <c r="D13" s="13"/>
      <c r="E13" s="17">
        <v>26</v>
      </c>
      <c r="I13" s="13" t="s">
        <v>26</v>
      </c>
      <c r="J13" s="13"/>
      <c r="K13" s="20">
        <f>E9</f>
        <v>0</v>
      </c>
      <c r="M13" s="26" t="s">
        <v>33</v>
      </c>
      <c r="N13" s="26"/>
      <c r="O13" s="24">
        <f>W9</f>
        <v>0</v>
      </c>
      <c r="P13" s="23">
        <f>E15</f>
        <v>0.82</v>
      </c>
      <c r="Q13" s="23">
        <f>O13*P13</f>
        <v>0</v>
      </c>
    </row>
    <row r="14" spans="1:33" x14ac:dyDescent="0.3">
      <c r="A14" s="13" t="s">
        <v>22</v>
      </c>
      <c r="B14" s="13"/>
      <c r="C14" s="13"/>
      <c r="D14" s="13"/>
      <c r="E14" s="18">
        <f>E12/E13</f>
        <v>6.5384615384615383</v>
      </c>
      <c r="I14" s="13" t="s">
        <v>46</v>
      </c>
      <c r="J14" s="13"/>
      <c r="K14" s="21">
        <f>W9</f>
        <v>0</v>
      </c>
      <c r="M14" s="39" t="s">
        <v>34</v>
      </c>
      <c r="N14" s="25"/>
      <c r="O14" s="13"/>
      <c r="P14" s="13"/>
      <c r="Q14" s="27">
        <v>0</v>
      </c>
    </row>
    <row r="15" spans="1:33" ht="15" thickBot="1" x14ac:dyDescent="0.35">
      <c r="A15" s="13" t="s">
        <v>23</v>
      </c>
      <c r="B15" s="13"/>
      <c r="C15" s="13"/>
      <c r="D15" s="13"/>
      <c r="E15" s="16">
        <v>0.82</v>
      </c>
      <c r="I15" s="13" t="s">
        <v>27</v>
      </c>
      <c r="J15" s="13"/>
      <c r="K15" s="20">
        <f>H9</f>
        <v>0</v>
      </c>
      <c r="M15" s="40" t="s">
        <v>35</v>
      </c>
      <c r="N15" s="41"/>
      <c r="O15" s="14"/>
      <c r="P15" s="14"/>
      <c r="Q15" s="28">
        <v>0</v>
      </c>
    </row>
    <row r="16" spans="1:33" ht="15" thickTop="1" x14ac:dyDescent="0.3">
      <c r="I16" s="13" t="s">
        <v>28</v>
      </c>
      <c r="J16" s="13"/>
      <c r="K16" s="20">
        <f>K9</f>
        <v>0</v>
      </c>
      <c r="M16" s="37" t="s">
        <v>36</v>
      </c>
      <c r="N16" s="37"/>
      <c r="O16" s="38"/>
      <c r="P16" s="38"/>
      <c r="Q16" s="29">
        <f>Q12+Q13-Q14+Q15</f>
        <v>0</v>
      </c>
    </row>
    <row r="17" spans="9:11" x14ac:dyDescent="0.3">
      <c r="I17" s="13" t="s">
        <v>29</v>
      </c>
      <c r="J17" s="13"/>
      <c r="K17" s="20">
        <f>N9</f>
        <v>0</v>
      </c>
    </row>
    <row r="18" spans="9:11" x14ac:dyDescent="0.3">
      <c r="I18" s="13" t="s">
        <v>30</v>
      </c>
      <c r="J18" s="13"/>
      <c r="K18" s="20">
        <f>Q9</f>
        <v>0</v>
      </c>
    </row>
  </sheetData>
  <mergeCells count="2">
    <mergeCell ref="A4:B4"/>
    <mergeCell ref="A5:A8"/>
  </mergeCells>
  <conditionalFormatting sqref="C5:AG5">
    <cfRule type="cellIs" dxfId="34" priority="1" operator="equal">
      <formula>"✓"</formula>
    </cfRule>
  </conditionalFormatting>
  <conditionalFormatting sqref="C5:AG5">
    <cfRule type="cellIs" dxfId="33" priority="2" operator="equal">
      <formula>"S"</formula>
    </cfRule>
  </conditionalFormatting>
  <conditionalFormatting sqref="C5:AG5">
    <cfRule type="cellIs" dxfId="32" priority="3" operator="equal">
      <formula>"P"</formula>
    </cfRule>
  </conditionalFormatting>
  <conditionalFormatting sqref="C5:AG5">
    <cfRule type="cellIs" dxfId="31" priority="4" operator="equal">
      <formula>"V"</formula>
    </cfRule>
  </conditionalFormatting>
  <conditionalFormatting sqref="C5:AG5">
    <cfRule type="cellIs" dxfId="30" priority="5" operator="equal">
      <formula>"X"</formula>
    </cfRule>
  </conditionalFormatting>
  <conditionalFormatting sqref="C5:AG5">
    <cfRule type="cellIs" dxfId="29" priority="6" operator="equal">
      <formula>"H"</formula>
    </cfRule>
  </conditionalFormatting>
  <conditionalFormatting sqref="C8:AF8">
    <cfRule type="cellIs" dxfId="28" priority="7" operator="greaterThan">
      <formula>0</formula>
    </cfRule>
  </conditionalFormatting>
  <dataValidations count="1">
    <dataValidation type="list" allowBlank="1" showInputMessage="1" showErrorMessage="1" sqref="C5:AG5" xr:uid="{806740EA-A7AA-4B55-8B76-49BC95E76AF1}">
      <formula1>"✓,S,P,V,X,H"</formula1>
    </dataValidation>
  </dataValidations>
  <printOptions horizontalCentered="1"/>
  <pageMargins left="0.39370078740157483" right="0.39370078740157483" top="0.43307086614173229" bottom="0.74803149606299213" header="0.31496062992125984" footer="0.31496062992125984"/>
  <pageSetup paperSize="9" scale="47" orientation="landscape" horizontalDpi="1200" verticalDpi="1200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71C30-853C-4FEF-9DDE-300F41BF8AAE}">
  <sheetPr>
    <pageSetUpPr fitToPage="1"/>
  </sheetPr>
  <dimension ref="A1:AG18"/>
  <sheetViews>
    <sheetView showGridLines="0" zoomScale="90" zoomScaleNormal="90" workbookViewId="0">
      <pane ySplit="3" topLeftCell="A4" activePane="bottomLeft" state="frozen"/>
      <selection pane="bottomLeft" activeCell="H27" sqref="H27"/>
    </sheetView>
  </sheetViews>
  <sheetFormatPr defaultRowHeight="14.4" x14ac:dyDescent="0.3"/>
  <cols>
    <col min="1" max="1" width="27.77734375" customWidth="1"/>
    <col min="2" max="2" width="22.21875" customWidth="1"/>
    <col min="3" max="33" width="7.77734375" customWidth="1"/>
    <col min="34" max="38" width="5.5546875" customWidth="1"/>
  </cols>
  <sheetData>
    <row r="1" spans="1:33" ht="58.8" customHeight="1" x14ac:dyDescent="0.3"/>
    <row r="2" spans="1:33" ht="18" x14ac:dyDescent="0.35">
      <c r="A2" s="1"/>
      <c r="C2" s="33" t="s">
        <v>3</v>
      </c>
      <c r="D2" s="34"/>
      <c r="E2" s="2" t="s">
        <v>4</v>
      </c>
      <c r="F2" s="33" t="s">
        <v>6</v>
      </c>
      <c r="G2" s="33"/>
      <c r="H2" s="3" t="s">
        <v>5</v>
      </c>
      <c r="I2" s="33" t="s">
        <v>6</v>
      </c>
      <c r="J2" s="33"/>
      <c r="K2" s="4" t="s">
        <v>0</v>
      </c>
      <c r="L2" s="33" t="s">
        <v>7</v>
      </c>
      <c r="M2" s="33"/>
      <c r="N2" s="5" t="s">
        <v>8</v>
      </c>
      <c r="O2" s="33" t="s">
        <v>9</v>
      </c>
      <c r="P2" s="33"/>
      <c r="Q2" s="6" t="s">
        <v>10</v>
      </c>
      <c r="R2" s="33" t="s">
        <v>11</v>
      </c>
      <c r="S2" s="33"/>
      <c r="T2" s="34"/>
      <c r="U2" s="34"/>
      <c r="V2" s="30" t="s">
        <v>1</v>
      </c>
    </row>
    <row r="4" spans="1:33" ht="19.95" customHeight="1" x14ac:dyDescent="0.3">
      <c r="A4" s="8" t="s">
        <v>55</v>
      </c>
      <c r="B4" s="8"/>
      <c r="C4" s="10">
        <v>1</v>
      </c>
      <c r="D4" s="10">
        <v>2</v>
      </c>
      <c r="E4" s="10">
        <v>3</v>
      </c>
      <c r="F4" s="10">
        <v>4</v>
      </c>
      <c r="G4" s="10">
        <v>5</v>
      </c>
      <c r="H4" s="9">
        <v>6</v>
      </c>
      <c r="I4" s="10">
        <v>7</v>
      </c>
      <c r="J4" s="10">
        <v>8</v>
      </c>
      <c r="K4" s="10">
        <v>9</v>
      </c>
      <c r="L4" s="10">
        <v>10</v>
      </c>
      <c r="M4" s="10">
        <v>11</v>
      </c>
      <c r="N4" s="10">
        <v>12</v>
      </c>
      <c r="O4" s="9">
        <v>13</v>
      </c>
      <c r="P4" s="10">
        <v>14</v>
      </c>
      <c r="Q4" s="10">
        <v>15</v>
      </c>
      <c r="R4" s="10">
        <v>16</v>
      </c>
      <c r="S4" s="10">
        <v>17</v>
      </c>
      <c r="T4" s="10">
        <v>18</v>
      </c>
      <c r="U4" s="10">
        <v>19</v>
      </c>
      <c r="V4" s="9">
        <v>20</v>
      </c>
      <c r="W4" s="10">
        <v>21</v>
      </c>
      <c r="X4" s="10">
        <v>22</v>
      </c>
      <c r="Y4" s="10">
        <v>23</v>
      </c>
      <c r="Z4" s="10">
        <v>24</v>
      </c>
      <c r="AA4" s="10">
        <v>25</v>
      </c>
      <c r="AB4" s="10">
        <v>26</v>
      </c>
      <c r="AC4" s="9">
        <v>27</v>
      </c>
      <c r="AD4" s="10">
        <v>28</v>
      </c>
      <c r="AE4" s="10">
        <v>29</v>
      </c>
      <c r="AF4" s="10">
        <v>30</v>
      </c>
      <c r="AG4" s="48"/>
    </row>
    <row r="5" spans="1:33" ht="19.95" customHeight="1" x14ac:dyDescent="0.3">
      <c r="A5" s="32" t="s">
        <v>12</v>
      </c>
      <c r="B5" s="31" t="s">
        <v>13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49"/>
    </row>
    <row r="6" spans="1:33" ht="19.95" customHeight="1" x14ac:dyDescent="0.3">
      <c r="A6" s="32"/>
      <c r="B6" s="31" t="s">
        <v>38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50"/>
    </row>
    <row r="7" spans="1:33" ht="19.95" customHeight="1" x14ac:dyDescent="0.3">
      <c r="A7" s="32"/>
      <c r="B7" s="31" t="s">
        <v>39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50"/>
    </row>
    <row r="8" spans="1:33" ht="19.95" customHeight="1" x14ac:dyDescent="0.3">
      <c r="A8" s="32"/>
      <c r="B8" s="31" t="s">
        <v>2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51"/>
    </row>
    <row r="9" spans="1:33" x14ac:dyDescent="0.3">
      <c r="A9" s="42"/>
      <c r="B9" s="43" t="s">
        <v>14</v>
      </c>
      <c r="C9" s="44" t="s">
        <v>3</v>
      </c>
      <c r="D9" s="45"/>
      <c r="E9" s="46">
        <f>COUNTIF($C$5:$AG$5,"✓")</f>
        <v>0</v>
      </c>
      <c r="F9" s="44" t="s">
        <v>15</v>
      </c>
      <c r="G9" s="45"/>
      <c r="H9" s="46">
        <f>COUNTIF($C$5:$AG$5,"S")</f>
        <v>0</v>
      </c>
      <c r="I9" s="44" t="s">
        <v>16</v>
      </c>
      <c r="J9" s="45"/>
      <c r="K9" s="46">
        <f>COUNTIF($C$5:$AG$5,"P")</f>
        <v>0</v>
      </c>
      <c r="L9" s="44" t="s">
        <v>7</v>
      </c>
      <c r="M9" s="45"/>
      <c r="N9" s="46">
        <f>COUNTIF($C$5:$AG$5,"V")</f>
        <v>0</v>
      </c>
      <c r="O9" s="44" t="s">
        <v>9</v>
      </c>
      <c r="P9" s="45"/>
      <c r="Q9" s="46">
        <f>COUNTIF($C$5:$AG$5,"X")</f>
        <v>0</v>
      </c>
      <c r="R9" s="44" t="s">
        <v>17</v>
      </c>
      <c r="S9" s="45"/>
      <c r="T9" s="46">
        <f>COUNTIF($C$5:$AG$5,"H")</f>
        <v>0</v>
      </c>
      <c r="U9" s="44" t="s">
        <v>18</v>
      </c>
      <c r="V9" s="45"/>
      <c r="W9" s="47">
        <f>SUM(C8:AG8)</f>
        <v>0</v>
      </c>
      <c r="X9" s="42"/>
      <c r="Y9" s="42"/>
      <c r="Z9" s="42"/>
      <c r="AA9" s="42"/>
      <c r="AB9" s="42"/>
      <c r="AC9" s="42"/>
      <c r="AD9" s="42"/>
      <c r="AE9" s="42"/>
      <c r="AF9" s="42"/>
      <c r="AG9" s="42"/>
    </row>
    <row r="11" spans="1:33" x14ac:dyDescent="0.3">
      <c r="A11" s="15" t="s">
        <v>19</v>
      </c>
      <c r="B11" s="13"/>
      <c r="C11" s="13"/>
      <c r="D11" s="13"/>
      <c r="E11" s="13"/>
      <c r="I11" s="35" t="s">
        <v>24</v>
      </c>
      <c r="J11" s="36"/>
      <c r="K11" s="36"/>
      <c r="M11" s="35" t="s">
        <v>31</v>
      </c>
      <c r="N11" s="35"/>
      <c r="O11" s="36"/>
      <c r="P11" s="36"/>
      <c r="Q11" s="36"/>
    </row>
    <row r="12" spans="1:33" x14ac:dyDescent="0.3">
      <c r="A12" s="13" t="s">
        <v>20</v>
      </c>
      <c r="B12" s="13"/>
      <c r="C12" s="13"/>
      <c r="D12" s="13"/>
      <c r="E12" s="16">
        <v>170</v>
      </c>
      <c r="I12" s="35" t="s">
        <v>25</v>
      </c>
      <c r="J12" s="35"/>
      <c r="K12" s="19" t="s">
        <v>48</v>
      </c>
      <c r="M12" s="26" t="s">
        <v>32</v>
      </c>
      <c r="N12" s="26"/>
      <c r="O12" s="22">
        <f>E9</f>
        <v>0</v>
      </c>
      <c r="P12" s="23">
        <f>E14</f>
        <v>6.5384615384615383</v>
      </c>
      <c r="Q12" s="23">
        <f>O12*P12</f>
        <v>0</v>
      </c>
    </row>
    <row r="13" spans="1:33" x14ac:dyDescent="0.3">
      <c r="A13" s="13" t="s">
        <v>21</v>
      </c>
      <c r="B13" s="13"/>
      <c r="C13" s="13"/>
      <c r="D13" s="13"/>
      <c r="E13" s="17">
        <v>26</v>
      </c>
      <c r="I13" s="13" t="s">
        <v>26</v>
      </c>
      <c r="J13" s="13"/>
      <c r="K13" s="20">
        <f>E9</f>
        <v>0</v>
      </c>
      <c r="M13" s="26" t="s">
        <v>33</v>
      </c>
      <c r="N13" s="26"/>
      <c r="O13" s="24">
        <f>W9</f>
        <v>0</v>
      </c>
      <c r="P13" s="23">
        <f>E15</f>
        <v>0.82</v>
      </c>
      <c r="Q13" s="23">
        <f>O13*P13</f>
        <v>0</v>
      </c>
    </row>
    <row r="14" spans="1:33" x14ac:dyDescent="0.3">
      <c r="A14" s="13" t="s">
        <v>22</v>
      </c>
      <c r="B14" s="13"/>
      <c r="C14" s="13"/>
      <c r="D14" s="13"/>
      <c r="E14" s="18">
        <f>E12/E13</f>
        <v>6.5384615384615383</v>
      </c>
      <c r="I14" s="13" t="s">
        <v>46</v>
      </c>
      <c r="J14" s="13"/>
      <c r="K14" s="21">
        <f>W9</f>
        <v>0</v>
      </c>
      <c r="M14" s="39" t="s">
        <v>34</v>
      </c>
      <c r="N14" s="25"/>
      <c r="O14" s="13"/>
      <c r="P14" s="13"/>
      <c r="Q14" s="27">
        <v>0</v>
      </c>
    </row>
    <row r="15" spans="1:33" ht="15" thickBot="1" x14ac:dyDescent="0.35">
      <c r="A15" s="13" t="s">
        <v>23</v>
      </c>
      <c r="B15" s="13"/>
      <c r="C15" s="13"/>
      <c r="D15" s="13"/>
      <c r="E15" s="16">
        <v>0.82</v>
      </c>
      <c r="I15" s="13" t="s">
        <v>27</v>
      </c>
      <c r="J15" s="13"/>
      <c r="K15" s="20">
        <f>H9</f>
        <v>0</v>
      </c>
      <c r="M15" s="40" t="s">
        <v>35</v>
      </c>
      <c r="N15" s="41"/>
      <c r="O15" s="14"/>
      <c r="P15" s="14"/>
      <c r="Q15" s="28">
        <v>0</v>
      </c>
    </row>
    <row r="16" spans="1:33" ht="15" thickTop="1" x14ac:dyDescent="0.3">
      <c r="I16" s="13" t="s">
        <v>28</v>
      </c>
      <c r="J16" s="13"/>
      <c r="K16" s="20">
        <f>K9</f>
        <v>0</v>
      </c>
      <c r="M16" s="37" t="s">
        <v>36</v>
      </c>
      <c r="N16" s="37"/>
      <c r="O16" s="38"/>
      <c r="P16" s="38"/>
      <c r="Q16" s="29">
        <f>Q12+Q13-Q14+Q15</f>
        <v>0</v>
      </c>
    </row>
    <row r="17" spans="9:11" x14ac:dyDescent="0.3">
      <c r="I17" s="13" t="s">
        <v>29</v>
      </c>
      <c r="J17" s="13"/>
      <c r="K17" s="20">
        <f>N9</f>
        <v>0</v>
      </c>
    </row>
    <row r="18" spans="9:11" x14ac:dyDescent="0.3">
      <c r="I18" s="13" t="s">
        <v>30</v>
      </c>
      <c r="J18" s="13"/>
      <c r="K18" s="20">
        <f>Q9</f>
        <v>0</v>
      </c>
    </row>
  </sheetData>
  <mergeCells count="2">
    <mergeCell ref="A4:B4"/>
    <mergeCell ref="A5:A8"/>
  </mergeCells>
  <conditionalFormatting sqref="C5:AG5">
    <cfRule type="cellIs" dxfId="27" priority="1" operator="equal">
      <formula>"✓"</formula>
    </cfRule>
  </conditionalFormatting>
  <conditionalFormatting sqref="C5:AG5">
    <cfRule type="cellIs" dxfId="26" priority="2" operator="equal">
      <formula>"S"</formula>
    </cfRule>
  </conditionalFormatting>
  <conditionalFormatting sqref="C5:AG5">
    <cfRule type="cellIs" dxfId="25" priority="3" operator="equal">
      <formula>"P"</formula>
    </cfRule>
  </conditionalFormatting>
  <conditionalFormatting sqref="C5:AG5">
    <cfRule type="cellIs" dxfId="24" priority="4" operator="equal">
      <formula>"V"</formula>
    </cfRule>
  </conditionalFormatting>
  <conditionalFormatting sqref="C5:AG5">
    <cfRule type="cellIs" dxfId="23" priority="5" operator="equal">
      <formula>"X"</formula>
    </cfRule>
  </conditionalFormatting>
  <conditionalFormatting sqref="C5:AG5">
    <cfRule type="cellIs" dxfId="22" priority="6" operator="equal">
      <formula>"H"</formula>
    </cfRule>
  </conditionalFormatting>
  <conditionalFormatting sqref="C8:AF8">
    <cfRule type="cellIs" dxfId="21" priority="7" operator="greaterThan">
      <formula>0</formula>
    </cfRule>
  </conditionalFormatting>
  <dataValidations count="1">
    <dataValidation type="list" allowBlank="1" showInputMessage="1" showErrorMessage="1" sqref="C5:AF5" xr:uid="{EB247ADC-53D5-4B5C-9060-33181B9814B7}">
      <formula1>"✓,S,P,V,X,H"</formula1>
    </dataValidation>
  </dataValidations>
  <printOptions horizontalCentered="1"/>
  <pageMargins left="0.39370078740157483" right="0.39370078740157483" top="0.43307086614173229" bottom="0.74803149606299213" header="0.31496062992125984" footer="0.31496062992125984"/>
  <pageSetup paperSize="9" scale="47" orientation="landscape" horizontalDpi="1200" verticalDpi="1200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B4559-39C3-4151-BDE3-D33F31055FE1}">
  <sheetPr>
    <pageSetUpPr fitToPage="1"/>
  </sheetPr>
  <dimension ref="A1:AG18"/>
  <sheetViews>
    <sheetView showGridLines="0" zoomScale="90" zoomScaleNormal="90" workbookViewId="0">
      <pane ySplit="3" topLeftCell="A4" activePane="bottomLeft" state="frozen"/>
      <selection pane="bottomLeft" activeCell="H27" sqref="H27"/>
    </sheetView>
  </sheetViews>
  <sheetFormatPr defaultRowHeight="14.4" x14ac:dyDescent="0.3"/>
  <cols>
    <col min="1" max="1" width="27.77734375" customWidth="1"/>
    <col min="2" max="2" width="22.21875" customWidth="1"/>
    <col min="3" max="33" width="7.77734375" customWidth="1"/>
    <col min="34" max="38" width="5.5546875" customWidth="1"/>
  </cols>
  <sheetData>
    <row r="1" spans="1:33" ht="58.8" customHeight="1" x14ac:dyDescent="0.3"/>
    <row r="2" spans="1:33" ht="18" x14ac:dyDescent="0.35">
      <c r="A2" s="1"/>
      <c r="C2" s="33" t="s">
        <v>3</v>
      </c>
      <c r="D2" s="34"/>
      <c r="E2" s="2" t="s">
        <v>4</v>
      </c>
      <c r="F2" s="33" t="s">
        <v>6</v>
      </c>
      <c r="G2" s="33"/>
      <c r="H2" s="3" t="s">
        <v>5</v>
      </c>
      <c r="I2" s="33" t="s">
        <v>6</v>
      </c>
      <c r="J2" s="33"/>
      <c r="K2" s="4" t="s">
        <v>0</v>
      </c>
      <c r="L2" s="33" t="s">
        <v>7</v>
      </c>
      <c r="M2" s="33"/>
      <c r="N2" s="5" t="s">
        <v>8</v>
      </c>
      <c r="O2" s="33" t="s">
        <v>9</v>
      </c>
      <c r="P2" s="33"/>
      <c r="Q2" s="6" t="s">
        <v>10</v>
      </c>
      <c r="R2" s="33" t="s">
        <v>11</v>
      </c>
      <c r="S2" s="33"/>
      <c r="T2" s="34"/>
      <c r="U2" s="34"/>
      <c r="V2" s="30" t="s">
        <v>1</v>
      </c>
    </row>
    <row r="4" spans="1:33" ht="19.95" customHeight="1" x14ac:dyDescent="0.3">
      <c r="A4" s="8" t="s">
        <v>56</v>
      </c>
      <c r="B4" s="8"/>
      <c r="C4" s="10">
        <v>1</v>
      </c>
      <c r="D4" s="10">
        <v>2</v>
      </c>
      <c r="E4" s="10">
        <v>3</v>
      </c>
      <c r="F4" s="9">
        <v>4</v>
      </c>
      <c r="G4" s="10">
        <v>5</v>
      </c>
      <c r="H4" s="10">
        <v>6</v>
      </c>
      <c r="I4" s="10">
        <v>7</v>
      </c>
      <c r="J4" s="10">
        <v>8</v>
      </c>
      <c r="K4" s="10">
        <v>9</v>
      </c>
      <c r="L4" s="10">
        <v>10</v>
      </c>
      <c r="M4" s="9">
        <v>11</v>
      </c>
      <c r="N4" s="10">
        <v>12</v>
      </c>
      <c r="O4" s="10">
        <v>13</v>
      </c>
      <c r="P4" s="10">
        <v>14</v>
      </c>
      <c r="Q4" s="10">
        <v>15</v>
      </c>
      <c r="R4" s="10">
        <v>16</v>
      </c>
      <c r="S4" s="10">
        <v>17</v>
      </c>
      <c r="T4" s="9">
        <v>18</v>
      </c>
      <c r="U4" s="10">
        <v>19</v>
      </c>
      <c r="V4" s="10">
        <v>20</v>
      </c>
      <c r="W4" s="10">
        <v>21</v>
      </c>
      <c r="X4" s="10">
        <v>22</v>
      </c>
      <c r="Y4" s="10">
        <v>23</v>
      </c>
      <c r="Z4" s="10">
        <v>24</v>
      </c>
      <c r="AA4" s="9">
        <v>25</v>
      </c>
      <c r="AB4" s="10">
        <v>26</v>
      </c>
      <c r="AC4" s="10">
        <v>27</v>
      </c>
      <c r="AD4" s="10">
        <v>28</v>
      </c>
      <c r="AE4" s="10">
        <v>29</v>
      </c>
      <c r="AF4" s="10">
        <v>30</v>
      </c>
      <c r="AG4" s="10">
        <v>31</v>
      </c>
    </row>
    <row r="5" spans="1:33" ht="19.95" customHeight="1" x14ac:dyDescent="0.3">
      <c r="A5" s="32" t="s">
        <v>12</v>
      </c>
      <c r="B5" s="31" t="s">
        <v>13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</row>
    <row r="6" spans="1:33" ht="19.95" customHeight="1" x14ac:dyDescent="0.3">
      <c r="A6" s="32"/>
      <c r="B6" s="31" t="s">
        <v>38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</row>
    <row r="7" spans="1:33" ht="19.95" customHeight="1" x14ac:dyDescent="0.3">
      <c r="A7" s="32"/>
      <c r="B7" s="31" t="s">
        <v>39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</row>
    <row r="8" spans="1:33" ht="19.95" customHeight="1" x14ac:dyDescent="0.3">
      <c r="A8" s="32"/>
      <c r="B8" s="31" t="s">
        <v>2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</row>
    <row r="9" spans="1:33" x14ac:dyDescent="0.3">
      <c r="A9" s="42"/>
      <c r="B9" s="43" t="s">
        <v>14</v>
      </c>
      <c r="C9" s="44" t="s">
        <v>3</v>
      </c>
      <c r="D9" s="45"/>
      <c r="E9" s="46">
        <f>COUNTIF($C$5:$AG$5,"✓")</f>
        <v>0</v>
      </c>
      <c r="F9" s="44" t="s">
        <v>15</v>
      </c>
      <c r="G9" s="45"/>
      <c r="H9" s="46">
        <f>COUNTIF($C$5:$AG$5,"S")</f>
        <v>0</v>
      </c>
      <c r="I9" s="44" t="s">
        <v>16</v>
      </c>
      <c r="J9" s="45"/>
      <c r="K9" s="46">
        <f>COUNTIF($C$5:$AG$5,"P")</f>
        <v>0</v>
      </c>
      <c r="L9" s="44" t="s">
        <v>7</v>
      </c>
      <c r="M9" s="45"/>
      <c r="N9" s="46">
        <f>COUNTIF($C$5:$AG$5,"V")</f>
        <v>0</v>
      </c>
      <c r="O9" s="44" t="s">
        <v>9</v>
      </c>
      <c r="P9" s="45"/>
      <c r="Q9" s="46">
        <f>COUNTIF($C$5:$AG$5,"X")</f>
        <v>0</v>
      </c>
      <c r="R9" s="44" t="s">
        <v>17</v>
      </c>
      <c r="S9" s="45"/>
      <c r="T9" s="46">
        <f>COUNTIF($C$5:$AG$5,"H")</f>
        <v>0</v>
      </c>
      <c r="U9" s="44" t="s">
        <v>18</v>
      </c>
      <c r="V9" s="45"/>
      <c r="W9" s="47">
        <f>SUM(C8:AG8)</f>
        <v>0</v>
      </c>
      <c r="X9" s="42"/>
      <c r="Y9" s="42"/>
      <c r="Z9" s="42"/>
      <c r="AA9" s="42"/>
      <c r="AB9" s="42"/>
      <c r="AC9" s="42"/>
      <c r="AD9" s="42"/>
      <c r="AE9" s="42"/>
      <c r="AF9" s="42"/>
      <c r="AG9" s="42"/>
    </row>
    <row r="11" spans="1:33" x14ac:dyDescent="0.3">
      <c r="A11" s="15" t="s">
        <v>19</v>
      </c>
      <c r="B11" s="13"/>
      <c r="C11" s="13"/>
      <c r="D11" s="13"/>
      <c r="E11" s="13"/>
      <c r="I11" s="35" t="s">
        <v>24</v>
      </c>
      <c r="J11" s="36"/>
      <c r="K11" s="36"/>
      <c r="M11" s="35" t="s">
        <v>31</v>
      </c>
      <c r="N11" s="35"/>
      <c r="O11" s="36"/>
      <c r="P11" s="36"/>
      <c r="Q11" s="36"/>
    </row>
    <row r="12" spans="1:33" x14ac:dyDescent="0.3">
      <c r="A12" s="13" t="s">
        <v>20</v>
      </c>
      <c r="B12" s="13"/>
      <c r="C12" s="13"/>
      <c r="D12" s="13"/>
      <c r="E12" s="16">
        <v>170</v>
      </c>
      <c r="I12" s="35" t="s">
        <v>25</v>
      </c>
      <c r="J12" s="35"/>
      <c r="K12" s="19" t="s">
        <v>48</v>
      </c>
      <c r="M12" s="26" t="s">
        <v>32</v>
      </c>
      <c r="N12" s="26"/>
      <c r="O12" s="22">
        <f>E9</f>
        <v>0</v>
      </c>
      <c r="P12" s="23">
        <f>E14</f>
        <v>6.5384615384615383</v>
      </c>
      <c r="Q12" s="23">
        <f>O12*P12</f>
        <v>0</v>
      </c>
    </row>
    <row r="13" spans="1:33" x14ac:dyDescent="0.3">
      <c r="A13" s="13" t="s">
        <v>21</v>
      </c>
      <c r="B13" s="13"/>
      <c r="C13" s="13"/>
      <c r="D13" s="13"/>
      <c r="E13" s="17">
        <v>26</v>
      </c>
      <c r="I13" s="13" t="s">
        <v>26</v>
      </c>
      <c r="J13" s="13"/>
      <c r="K13" s="20">
        <f>E9</f>
        <v>0</v>
      </c>
      <c r="M13" s="26" t="s">
        <v>33</v>
      </c>
      <c r="N13" s="26"/>
      <c r="O13" s="24">
        <f>W9</f>
        <v>0</v>
      </c>
      <c r="P13" s="23">
        <f>E15</f>
        <v>0.82</v>
      </c>
      <c r="Q13" s="23">
        <f>O13*P13</f>
        <v>0</v>
      </c>
    </row>
    <row r="14" spans="1:33" x14ac:dyDescent="0.3">
      <c r="A14" s="13" t="s">
        <v>22</v>
      </c>
      <c r="B14" s="13"/>
      <c r="C14" s="13"/>
      <c r="D14" s="13"/>
      <c r="E14" s="18">
        <f>E12/E13</f>
        <v>6.5384615384615383</v>
      </c>
      <c r="I14" s="13" t="s">
        <v>46</v>
      </c>
      <c r="J14" s="13"/>
      <c r="K14" s="21">
        <f>W9</f>
        <v>0</v>
      </c>
      <c r="M14" s="39" t="s">
        <v>34</v>
      </c>
      <c r="N14" s="25"/>
      <c r="O14" s="13"/>
      <c r="P14" s="13"/>
      <c r="Q14" s="27">
        <v>0</v>
      </c>
    </row>
    <row r="15" spans="1:33" ht="15" thickBot="1" x14ac:dyDescent="0.35">
      <c r="A15" s="13" t="s">
        <v>23</v>
      </c>
      <c r="B15" s="13"/>
      <c r="C15" s="13"/>
      <c r="D15" s="13"/>
      <c r="E15" s="16">
        <v>0.82</v>
      </c>
      <c r="I15" s="13" t="s">
        <v>27</v>
      </c>
      <c r="J15" s="13"/>
      <c r="K15" s="20">
        <f>H9</f>
        <v>0</v>
      </c>
      <c r="M15" s="40" t="s">
        <v>35</v>
      </c>
      <c r="N15" s="41"/>
      <c r="O15" s="14"/>
      <c r="P15" s="14"/>
      <c r="Q15" s="28">
        <v>0</v>
      </c>
    </row>
    <row r="16" spans="1:33" ht="15" thickTop="1" x14ac:dyDescent="0.3">
      <c r="I16" s="13" t="s">
        <v>28</v>
      </c>
      <c r="J16" s="13"/>
      <c r="K16" s="20">
        <f>K9</f>
        <v>0</v>
      </c>
      <c r="M16" s="37" t="s">
        <v>36</v>
      </c>
      <c r="N16" s="37"/>
      <c r="O16" s="38"/>
      <c r="P16" s="38"/>
      <c r="Q16" s="29">
        <f>Q12+Q13-Q14+Q15</f>
        <v>0</v>
      </c>
    </row>
    <row r="17" spans="9:11" x14ac:dyDescent="0.3">
      <c r="I17" s="13" t="s">
        <v>29</v>
      </c>
      <c r="J17" s="13"/>
      <c r="K17" s="20">
        <f>N9</f>
        <v>0</v>
      </c>
    </row>
    <row r="18" spans="9:11" x14ac:dyDescent="0.3">
      <c r="I18" s="13" t="s">
        <v>30</v>
      </c>
      <c r="J18" s="13"/>
      <c r="K18" s="20">
        <f>Q9</f>
        <v>0</v>
      </c>
    </row>
  </sheetData>
  <mergeCells count="2">
    <mergeCell ref="A4:B4"/>
    <mergeCell ref="A5:A8"/>
  </mergeCells>
  <conditionalFormatting sqref="C5:AG5">
    <cfRule type="cellIs" dxfId="20" priority="1" operator="equal">
      <formula>"✓"</formula>
    </cfRule>
  </conditionalFormatting>
  <conditionalFormatting sqref="C5:AG5">
    <cfRule type="cellIs" dxfId="19" priority="2" operator="equal">
      <formula>"S"</formula>
    </cfRule>
  </conditionalFormatting>
  <conditionalFormatting sqref="C5:AG5">
    <cfRule type="cellIs" dxfId="18" priority="3" operator="equal">
      <formula>"P"</formula>
    </cfRule>
  </conditionalFormatting>
  <conditionalFormatting sqref="C5:AG5">
    <cfRule type="cellIs" dxfId="17" priority="4" operator="equal">
      <formula>"V"</formula>
    </cfRule>
  </conditionalFormatting>
  <conditionalFormatting sqref="C5:AG5">
    <cfRule type="cellIs" dxfId="16" priority="5" operator="equal">
      <formula>"X"</formula>
    </cfRule>
  </conditionalFormatting>
  <conditionalFormatting sqref="C5:AG5">
    <cfRule type="cellIs" dxfId="15" priority="6" operator="equal">
      <formula>"H"</formula>
    </cfRule>
  </conditionalFormatting>
  <conditionalFormatting sqref="C8:AF8">
    <cfRule type="cellIs" dxfId="14" priority="7" operator="greaterThan">
      <formula>0</formula>
    </cfRule>
  </conditionalFormatting>
  <dataValidations count="1">
    <dataValidation type="list" allowBlank="1" showInputMessage="1" showErrorMessage="1" sqref="C5:AG5" xr:uid="{6E16CB97-D00C-462E-BCFB-29E1A9C072D9}">
      <formula1>"✓,S,P,V,X,H"</formula1>
    </dataValidation>
  </dataValidations>
  <printOptions horizontalCentered="1"/>
  <pageMargins left="0.39370078740157483" right="0.39370078740157483" top="0.43307086614173229" bottom="0.74803149606299213" header="0.31496062992125984" footer="0.31496062992125984"/>
  <pageSetup paperSize="9" scale="47" orientation="landscape" horizontalDpi="1200" verticalDpi="1200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66A93-DB84-4678-8689-ED91616E5E5B}">
  <sheetPr>
    <pageSetUpPr fitToPage="1"/>
  </sheetPr>
  <dimension ref="A1:AG18"/>
  <sheetViews>
    <sheetView showGridLines="0" zoomScale="90" zoomScaleNormal="90" workbookViewId="0">
      <pane ySplit="3" topLeftCell="A4" activePane="bottomLeft" state="frozen"/>
      <selection pane="bottomLeft" activeCell="H27" sqref="H27"/>
    </sheetView>
  </sheetViews>
  <sheetFormatPr defaultRowHeight="14.4" x14ac:dyDescent="0.3"/>
  <cols>
    <col min="1" max="1" width="27.77734375" customWidth="1"/>
    <col min="2" max="2" width="22.21875" customWidth="1"/>
    <col min="3" max="33" width="7.77734375" customWidth="1"/>
    <col min="34" max="38" width="5.5546875" customWidth="1"/>
  </cols>
  <sheetData>
    <row r="1" spans="1:33" ht="58.8" customHeight="1" x14ac:dyDescent="0.3"/>
    <row r="2" spans="1:33" ht="18" x14ac:dyDescent="0.35">
      <c r="A2" s="1"/>
      <c r="C2" s="33" t="s">
        <v>3</v>
      </c>
      <c r="D2" s="34"/>
      <c r="E2" s="2" t="s">
        <v>4</v>
      </c>
      <c r="F2" s="33" t="s">
        <v>6</v>
      </c>
      <c r="G2" s="33"/>
      <c r="H2" s="3" t="s">
        <v>5</v>
      </c>
      <c r="I2" s="33" t="s">
        <v>6</v>
      </c>
      <c r="J2" s="33"/>
      <c r="K2" s="4" t="s">
        <v>0</v>
      </c>
      <c r="L2" s="33" t="s">
        <v>7</v>
      </c>
      <c r="M2" s="33"/>
      <c r="N2" s="5" t="s">
        <v>8</v>
      </c>
      <c r="O2" s="33" t="s">
        <v>9</v>
      </c>
      <c r="P2" s="33"/>
      <c r="Q2" s="6" t="s">
        <v>10</v>
      </c>
      <c r="R2" s="33" t="s">
        <v>11</v>
      </c>
      <c r="S2" s="33"/>
      <c r="T2" s="34"/>
      <c r="U2" s="34"/>
      <c r="V2" s="30" t="s">
        <v>1</v>
      </c>
    </row>
    <row r="4" spans="1:33" ht="19.95" customHeight="1" x14ac:dyDescent="0.3">
      <c r="A4" s="8" t="s">
        <v>57</v>
      </c>
      <c r="B4" s="8"/>
      <c r="C4" s="9">
        <v>1</v>
      </c>
      <c r="D4" s="10">
        <v>2</v>
      </c>
      <c r="E4" s="10">
        <v>3</v>
      </c>
      <c r="F4" s="10">
        <v>4</v>
      </c>
      <c r="G4" s="10">
        <v>5</v>
      </c>
      <c r="H4" s="10">
        <v>6</v>
      </c>
      <c r="I4" s="10">
        <v>7</v>
      </c>
      <c r="J4" s="9">
        <v>8</v>
      </c>
      <c r="K4" s="10">
        <v>9</v>
      </c>
      <c r="L4" s="10">
        <v>10</v>
      </c>
      <c r="M4" s="10">
        <v>11</v>
      </c>
      <c r="N4" s="10">
        <v>12</v>
      </c>
      <c r="O4" s="10">
        <v>13</v>
      </c>
      <c r="P4" s="10">
        <v>14</v>
      </c>
      <c r="Q4" s="9">
        <v>15</v>
      </c>
      <c r="R4" s="10">
        <v>16</v>
      </c>
      <c r="S4" s="10">
        <v>17</v>
      </c>
      <c r="T4" s="10">
        <v>18</v>
      </c>
      <c r="U4" s="10">
        <v>19</v>
      </c>
      <c r="V4" s="10">
        <v>20</v>
      </c>
      <c r="W4" s="10">
        <v>21</v>
      </c>
      <c r="X4" s="9">
        <v>22</v>
      </c>
      <c r="Y4" s="10">
        <v>23</v>
      </c>
      <c r="Z4" s="10">
        <v>24</v>
      </c>
      <c r="AA4" s="10">
        <v>25</v>
      </c>
      <c r="AB4" s="10">
        <v>26</v>
      </c>
      <c r="AC4" s="10">
        <v>27</v>
      </c>
      <c r="AD4" s="10">
        <v>28</v>
      </c>
      <c r="AE4" s="9">
        <v>29</v>
      </c>
      <c r="AF4" s="10">
        <v>30</v>
      </c>
      <c r="AG4" s="48"/>
    </row>
    <row r="5" spans="1:33" ht="19.95" customHeight="1" x14ac:dyDescent="0.3">
      <c r="A5" s="32" t="s">
        <v>12</v>
      </c>
      <c r="B5" s="31" t="s">
        <v>13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49"/>
    </row>
    <row r="6" spans="1:33" ht="19.95" customHeight="1" x14ac:dyDescent="0.3">
      <c r="A6" s="32"/>
      <c r="B6" s="31" t="s">
        <v>38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50"/>
    </row>
    <row r="7" spans="1:33" ht="19.95" customHeight="1" x14ac:dyDescent="0.3">
      <c r="A7" s="32"/>
      <c r="B7" s="31" t="s">
        <v>39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50"/>
    </row>
    <row r="8" spans="1:33" ht="19.95" customHeight="1" x14ac:dyDescent="0.3">
      <c r="A8" s="32"/>
      <c r="B8" s="31" t="s">
        <v>2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51"/>
    </row>
    <row r="9" spans="1:33" x14ac:dyDescent="0.3">
      <c r="A9" s="42"/>
      <c r="B9" s="43" t="s">
        <v>14</v>
      </c>
      <c r="C9" s="44" t="s">
        <v>3</v>
      </c>
      <c r="D9" s="45"/>
      <c r="E9" s="46">
        <f>COUNTIF($C$5:$AG$5,"✓")</f>
        <v>0</v>
      </c>
      <c r="F9" s="44" t="s">
        <v>15</v>
      </c>
      <c r="G9" s="45"/>
      <c r="H9" s="46">
        <f>COUNTIF($C$5:$AG$5,"S")</f>
        <v>0</v>
      </c>
      <c r="I9" s="44" t="s">
        <v>16</v>
      </c>
      <c r="J9" s="45"/>
      <c r="K9" s="46">
        <f>COUNTIF($C$5:$AG$5,"P")</f>
        <v>0</v>
      </c>
      <c r="L9" s="44" t="s">
        <v>7</v>
      </c>
      <c r="M9" s="45"/>
      <c r="N9" s="46">
        <f>COUNTIF($C$5:$AG$5,"V")</f>
        <v>0</v>
      </c>
      <c r="O9" s="44" t="s">
        <v>9</v>
      </c>
      <c r="P9" s="45"/>
      <c r="Q9" s="46">
        <f>COUNTIF($C$5:$AG$5,"X")</f>
        <v>0</v>
      </c>
      <c r="R9" s="44" t="s">
        <v>17</v>
      </c>
      <c r="S9" s="45"/>
      <c r="T9" s="46">
        <f>COUNTIF($C$5:$AG$5,"H")</f>
        <v>0</v>
      </c>
      <c r="U9" s="44" t="s">
        <v>18</v>
      </c>
      <c r="V9" s="45"/>
      <c r="W9" s="47">
        <f>SUM(C8:AG8)</f>
        <v>0</v>
      </c>
      <c r="X9" s="42"/>
      <c r="Y9" s="42"/>
      <c r="Z9" s="42"/>
      <c r="AA9" s="42"/>
      <c r="AB9" s="42"/>
      <c r="AC9" s="42"/>
      <c r="AD9" s="42"/>
      <c r="AE9" s="42"/>
      <c r="AF9" s="42"/>
      <c r="AG9" s="42"/>
    </row>
    <row r="11" spans="1:33" x14ac:dyDescent="0.3">
      <c r="A11" s="15" t="s">
        <v>19</v>
      </c>
      <c r="B11" s="13"/>
      <c r="C11" s="13"/>
      <c r="D11" s="13"/>
      <c r="E11" s="13"/>
      <c r="I11" s="35" t="s">
        <v>24</v>
      </c>
      <c r="J11" s="36"/>
      <c r="K11" s="36"/>
      <c r="M11" s="35" t="s">
        <v>31</v>
      </c>
      <c r="N11" s="35"/>
      <c r="O11" s="36"/>
      <c r="P11" s="36"/>
      <c r="Q11" s="36"/>
    </row>
    <row r="12" spans="1:33" x14ac:dyDescent="0.3">
      <c r="A12" s="13" t="s">
        <v>20</v>
      </c>
      <c r="B12" s="13"/>
      <c r="C12" s="13"/>
      <c r="D12" s="13"/>
      <c r="E12" s="16">
        <v>170</v>
      </c>
      <c r="I12" s="35" t="s">
        <v>25</v>
      </c>
      <c r="J12" s="35"/>
      <c r="K12" s="19" t="s">
        <v>48</v>
      </c>
      <c r="M12" s="26" t="s">
        <v>32</v>
      </c>
      <c r="N12" s="26"/>
      <c r="O12" s="22">
        <f>E9</f>
        <v>0</v>
      </c>
      <c r="P12" s="23">
        <f>E14</f>
        <v>6.5384615384615383</v>
      </c>
      <c r="Q12" s="23">
        <f>O12*P12</f>
        <v>0</v>
      </c>
    </row>
    <row r="13" spans="1:33" x14ac:dyDescent="0.3">
      <c r="A13" s="13" t="s">
        <v>21</v>
      </c>
      <c r="B13" s="13"/>
      <c r="C13" s="13"/>
      <c r="D13" s="13"/>
      <c r="E13" s="17">
        <v>26</v>
      </c>
      <c r="I13" s="13" t="s">
        <v>26</v>
      </c>
      <c r="J13" s="13"/>
      <c r="K13" s="20">
        <f>E9</f>
        <v>0</v>
      </c>
      <c r="M13" s="26" t="s">
        <v>33</v>
      </c>
      <c r="N13" s="26"/>
      <c r="O13" s="24">
        <f>W9</f>
        <v>0</v>
      </c>
      <c r="P13" s="23">
        <f>E15</f>
        <v>0.82</v>
      </c>
      <c r="Q13" s="23">
        <f>O13*P13</f>
        <v>0</v>
      </c>
    </row>
    <row r="14" spans="1:33" x14ac:dyDescent="0.3">
      <c r="A14" s="13" t="s">
        <v>22</v>
      </c>
      <c r="B14" s="13"/>
      <c r="C14" s="13"/>
      <c r="D14" s="13"/>
      <c r="E14" s="18">
        <f>E12/E13</f>
        <v>6.5384615384615383</v>
      </c>
      <c r="I14" s="13" t="s">
        <v>46</v>
      </c>
      <c r="J14" s="13"/>
      <c r="K14" s="21">
        <f>W9</f>
        <v>0</v>
      </c>
      <c r="M14" s="39" t="s">
        <v>34</v>
      </c>
      <c r="N14" s="25"/>
      <c r="O14" s="13"/>
      <c r="P14" s="13"/>
      <c r="Q14" s="27">
        <v>0</v>
      </c>
    </row>
    <row r="15" spans="1:33" ht="15" thickBot="1" x14ac:dyDescent="0.35">
      <c r="A15" s="13" t="s">
        <v>23</v>
      </c>
      <c r="B15" s="13"/>
      <c r="C15" s="13"/>
      <c r="D15" s="13"/>
      <c r="E15" s="16">
        <v>0.82</v>
      </c>
      <c r="I15" s="13" t="s">
        <v>27</v>
      </c>
      <c r="J15" s="13"/>
      <c r="K15" s="20">
        <f>H9</f>
        <v>0</v>
      </c>
      <c r="M15" s="40" t="s">
        <v>35</v>
      </c>
      <c r="N15" s="41"/>
      <c r="O15" s="14"/>
      <c r="P15" s="14"/>
      <c r="Q15" s="28">
        <v>0</v>
      </c>
    </row>
    <row r="16" spans="1:33" ht="15" thickTop="1" x14ac:dyDescent="0.3">
      <c r="I16" s="13" t="s">
        <v>28</v>
      </c>
      <c r="J16" s="13"/>
      <c r="K16" s="20">
        <f>K9</f>
        <v>0</v>
      </c>
      <c r="M16" s="37" t="s">
        <v>36</v>
      </c>
      <c r="N16" s="37"/>
      <c r="O16" s="38"/>
      <c r="P16" s="38"/>
      <c r="Q16" s="29">
        <f>Q12+Q13-Q14+Q15</f>
        <v>0</v>
      </c>
    </row>
    <row r="17" spans="9:11" x14ac:dyDescent="0.3">
      <c r="I17" s="13" t="s">
        <v>29</v>
      </c>
      <c r="J17" s="13"/>
      <c r="K17" s="20">
        <f>N9</f>
        <v>0</v>
      </c>
    </row>
    <row r="18" spans="9:11" x14ac:dyDescent="0.3">
      <c r="I18" s="13" t="s">
        <v>30</v>
      </c>
      <c r="J18" s="13"/>
      <c r="K18" s="20">
        <f>Q9</f>
        <v>0</v>
      </c>
    </row>
  </sheetData>
  <mergeCells count="2">
    <mergeCell ref="A4:B4"/>
    <mergeCell ref="A5:A8"/>
  </mergeCells>
  <conditionalFormatting sqref="C5:AG5">
    <cfRule type="cellIs" dxfId="13" priority="1" operator="equal">
      <formula>"✓"</formula>
    </cfRule>
  </conditionalFormatting>
  <conditionalFormatting sqref="C5:AG5">
    <cfRule type="cellIs" dxfId="12" priority="2" operator="equal">
      <formula>"S"</formula>
    </cfRule>
  </conditionalFormatting>
  <conditionalFormatting sqref="C5:AG5">
    <cfRule type="cellIs" dxfId="11" priority="3" operator="equal">
      <formula>"P"</formula>
    </cfRule>
  </conditionalFormatting>
  <conditionalFormatting sqref="C5:AG5">
    <cfRule type="cellIs" dxfId="10" priority="4" operator="equal">
      <formula>"V"</formula>
    </cfRule>
  </conditionalFormatting>
  <conditionalFormatting sqref="C5:AG5">
    <cfRule type="cellIs" dxfId="9" priority="5" operator="equal">
      <formula>"X"</formula>
    </cfRule>
  </conditionalFormatting>
  <conditionalFormatting sqref="C5:AG5">
    <cfRule type="cellIs" dxfId="8" priority="6" operator="equal">
      <formula>"H"</formula>
    </cfRule>
  </conditionalFormatting>
  <conditionalFormatting sqref="C8:AF8">
    <cfRule type="cellIs" dxfId="7" priority="7" operator="greaterThan">
      <formula>0</formula>
    </cfRule>
  </conditionalFormatting>
  <dataValidations count="1">
    <dataValidation type="list" allowBlank="1" showInputMessage="1" showErrorMessage="1" sqref="C5:AF5" xr:uid="{C5610755-7645-4195-BB8E-A3F1992573D1}">
      <formula1>"✓,S,P,V,X,H"</formula1>
    </dataValidation>
  </dataValidations>
  <printOptions horizontalCentered="1"/>
  <pageMargins left="0.39370078740157483" right="0.39370078740157483" top="0.43307086614173229" bottom="0.74803149606299213" header="0.31496062992125984" footer="0.31496062992125984"/>
  <pageSetup paperSize="9" scale="47" orientation="landscape" horizontalDpi="1200" verticalDpi="1200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B9E53-306F-4B13-88D2-4AD1F3298EA8}">
  <sheetPr>
    <pageSetUpPr fitToPage="1"/>
  </sheetPr>
  <dimension ref="A1:AG18"/>
  <sheetViews>
    <sheetView showGridLines="0" zoomScale="90" zoomScaleNormal="90" workbookViewId="0">
      <pane ySplit="3" topLeftCell="A4" activePane="bottomLeft" state="frozen"/>
      <selection pane="bottomLeft" activeCell="H27" sqref="H27"/>
    </sheetView>
  </sheetViews>
  <sheetFormatPr defaultRowHeight="14.4" x14ac:dyDescent="0.3"/>
  <cols>
    <col min="1" max="1" width="27.77734375" customWidth="1"/>
    <col min="2" max="2" width="22.21875" customWidth="1"/>
    <col min="3" max="33" width="7.77734375" customWidth="1"/>
    <col min="34" max="38" width="5.5546875" customWidth="1"/>
  </cols>
  <sheetData>
    <row r="1" spans="1:33" ht="58.8" customHeight="1" x14ac:dyDescent="0.3"/>
    <row r="2" spans="1:33" ht="18" x14ac:dyDescent="0.35">
      <c r="A2" s="1"/>
      <c r="C2" s="33" t="s">
        <v>3</v>
      </c>
      <c r="D2" s="34"/>
      <c r="E2" s="2" t="s">
        <v>4</v>
      </c>
      <c r="F2" s="33" t="s">
        <v>6</v>
      </c>
      <c r="G2" s="33"/>
      <c r="H2" s="3" t="s">
        <v>5</v>
      </c>
      <c r="I2" s="33" t="s">
        <v>6</v>
      </c>
      <c r="J2" s="33"/>
      <c r="K2" s="4" t="s">
        <v>0</v>
      </c>
      <c r="L2" s="33" t="s">
        <v>7</v>
      </c>
      <c r="M2" s="33"/>
      <c r="N2" s="5" t="s">
        <v>8</v>
      </c>
      <c r="O2" s="33" t="s">
        <v>9</v>
      </c>
      <c r="P2" s="33"/>
      <c r="Q2" s="6" t="s">
        <v>10</v>
      </c>
      <c r="R2" s="33" t="s">
        <v>11</v>
      </c>
      <c r="S2" s="33"/>
      <c r="T2" s="34"/>
      <c r="U2" s="34"/>
      <c r="V2" s="30" t="s">
        <v>1</v>
      </c>
    </row>
    <row r="4" spans="1:33" ht="19.95" customHeight="1" x14ac:dyDescent="0.3">
      <c r="A4" s="8" t="s">
        <v>58</v>
      </c>
      <c r="B4" s="8"/>
      <c r="C4" s="10">
        <v>1</v>
      </c>
      <c r="D4" s="10">
        <v>2</v>
      </c>
      <c r="E4" s="10">
        <v>3</v>
      </c>
      <c r="F4" s="10">
        <v>4</v>
      </c>
      <c r="G4" s="10">
        <v>5</v>
      </c>
      <c r="H4" s="9">
        <v>6</v>
      </c>
      <c r="I4" s="10">
        <v>7</v>
      </c>
      <c r="J4" s="10">
        <v>8</v>
      </c>
      <c r="K4" s="10">
        <v>9</v>
      </c>
      <c r="L4" s="10">
        <v>10</v>
      </c>
      <c r="M4" s="10">
        <v>11</v>
      </c>
      <c r="N4" s="10">
        <v>12</v>
      </c>
      <c r="O4" s="9">
        <v>13</v>
      </c>
      <c r="P4" s="10">
        <v>14</v>
      </c>
      <c r="Q4" s="10">
        <v>15</v>
      </c>
      <c r="R4" s="10">
        <v>16</v>
      </c>
      <c r="S4" s="10">
        <v>17</v>
      </c>
      <c r="T4" s="10">
        <v>18</v>
      </c>
      <c r="U4" s="10">
        <v>19</v>
      </c>
      <c r="V4" s="9">
        <v>20</v>
      </c>
      <c r="W4" s="10">
        <v>21</v>
      </c>
      <c r="X4" s="10">
        <v>22</v>
      </c>
      <c r="Y4" s="10">
        <v>23</v>
      </c>
      <c r="Z4" s="10">
        <v>24</v>
      </c>
      <c r="AA4" s="10">
        <v>25</v>
      </c>
      <c r="AB4" s="10">
        <v>26</v>
      </c>
      <c r="AC4" s="9">
        <v>27</v>
      </c>
      <c r="AD4" s="10">
        <v>28</v>
      </c>
      <c r="AE4" s="10">
        <v>29</v>
      </c>
      <c r="AF4" s="10">
        <v>30</v>
      </c>
      <c r="AG4" s="10">
        <v>31</v>
      </c>
    </row>
    <row r="5" spans="1:33" ht="19.95" customHeight="1" x14ac:dyDescent="0.3">
      <c r="A5" s="32" t="s">
        <v>12</v>
      </c>
      <c r="B5" s="31" t="s">
        <v>13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</row>
    <row r="6" spans="1:33" ht="19.95" customHeight="1" x14ac:dyDescent="0.3">
      <c r="A6" s="32"/>
      <c r="B6" s="31" t="s">
        <v>38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</row>
    <row r="7" spans="1:33" ht="19.95" customHeight="1" x14ac:dyDescent="0.3">
      <c r="A7" s="32"/>
      <c r="B7" s="31" t="s">
        <v>39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</row>
    <row r="8" spans="1:33" ht="19.95" customHeight="1" x14ac:dyDescent="0.3">
      <c r="A8" s="32"/>
      <c r="B8" s="31" t="s">
        <v>2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</row>
    <row r="9" spans="1:33" x14ac:dyDescent="0.3">
      <c r="A9" s="42"/>
      <c r="B9" s="43" t="s">
        <v>14</v>
      </c>
      <c r="C9" s="44" t="s">
        <v>3</v>
      </c>
      <c r="D9" s="45"/>
      <c r="E9" s="46">
        <f>COUNTIF($C$5:$AG$5,"✓")</f>
        <v>0</v>
      </c>
      <c r="F9" s="44" t="s">
        <v>15</v>
      </c>
      <c r="G9" s="45"/>
      <c r="H9" s="46">
        <f>COUNTIF($C$5:$AG$5,"S")</f>
        <v>0</v>
      </c>
      <c r="I9" s="44" t="s">
        <v>16</v>
      </c>
      <c r="J9" s="45"/>
      <c r="K9" s="46">
        <f>COUNTIF($C$5:$AG$5,"P")</f>
        <v>0</v>
      </c>
      <c r="L9" s="44" t="s">
        <v>7</v>
      </c>
      <c r="M9" s="45"/>
      <c r="N9" s="46">
        <f>COUNTIF($C$5:$AG$5,"V")</f>
        <v>0</v>
      </c>
      <c r="O9" s="44" t="s">
        <v>9</v>
      </c>
      <c r="P9" s="45"/>
      <c r="Q9" s="46">
        <f>COUNTIF($C$5:$AG$5,"X")</f>
        <v>0</v>
      </c>
      <c r="R9" s="44" t="s">
        <v>17</v>
      </c>
      <c r="S9" s="45"/>
      <c r="T9" s="46">
        <f>COUNTIF($C$5:$AG$5,"H")</f>
        <v>0</v>
      </c>
      <c r="U9" s="44" t="s">
        <v>18</v>
      </c>
      <c r="V9" s="45"/>
      <c r="W9" s="47">
        <f>SUM(C8:AG8)</f>
        <v>0</v>
      </c>
      <c r="X9" s="42"/>
      <c r="Y9" s="42"/>
      <c r="Z9" s="42"/>
      <c r="AA9" s="42"/>
      <c r="AB9" s="42"/>
      <c r="AC9" s="42"/>
      <c r="AD9" s="42"/>
      <c r="AE9" s="42"/>
      <c r="AF9" s="42"/>
      <c r="AG9" s="42"/>
    </row>
    <row r="11" spans="1:33" x14ac:dyDescent="0.3">
      <c r="A11" s="15" t="s">
        <v>19</v>
      </c>
      <c r="B11" s="13"/>
      <c r="C11" s="13"/>
      <c r="D11" s="13"/>
      <c r="E11" s="13"/>
      <c r="I11" s="35" t="s">
        <v>24</v>
      </c>
      <c r="J11" s="36"/>
      <c r="K11" s="36"/>
      <c r="M11" s="35" t="s">
        <v>31</v>
      </c>
      <c r="N11" s="35"/>
      <c r="O11" s="36"/>
      <c r="P11" s="36"/>
      <c r="Q11" s="36"/>
    </row>
    <row r="12" spans="1:33" x14ac:dyDescent="0.3">
      <c r="A12" s="13" t="s">
        <v>20</v>
      </c>
      <c r="B12" s="13"/>
      <c r="C12" s="13"/>
      <c r="D12" s="13"/>
      <c r="E12" s="16">
        <v>170</v>
      </c>
      <c r="I12" s="35" t="s">
        <v>25</v>
      </c>
      <c r="J12" s="35"/>
      <c r="K12" s="19" t="s">
        <v>48</v>
      </c>
      <c r="M12" s="26" t="s">
        <v>32</v>
      </c>
      <c r="N12" s="26"/>
      <c r="O12" s="22">
        <f>E9</f>
        <v>0</v>
      </c>
      <c r="P12" s="23">
        <f>E14</f>
        <v>6.5384615384615383</v>
      </c>
      <c r="Q12" s="23">
        <f>O12*P12</f>
        <v>0</v>
      </c>
    </row>
    <row r="13" spans="1:33" x14ac:dyDescent="0.3">
      <c r="A13" s="13" t="s">
        <v>21</v>
      </c>
      <c r="B13" s="13"/>
      <c r="C13" s="13"/>
      <c r="D13" s="13"/>
      <c r="E13" s="17">
        <v>26</v>
      </c>
      <c r="I13" s="13" t="s">
        <v>26</v>
      </c>
      <c r="J13" s="13"/>
      <c r="K13" s="20">
        <f>E9</f>
        <v>0</v>
      </c>
      <c r="M13" s="26" t="s">
        <v>33</v>
      </c>
      <c r="N13" s="26"/>
      <c r="O13" s="24">
        <f>W9</f>
        <v>0</v>
      </c>
      <c r="P13" s="23">
        <f>E15</f>
        <v>0.82</v>
      </c>
      <c r="Q13" s="23">
        <f>O13*P13</f>
        <v>0</v>
      </c>
    </row>
    <row r="14" spans="1:33" x14ac:dyDescent="0.3">
      <c r="A14" s="13" t="s">
        <v>22</v>
      </c>
      <c r="B14" s="13"/>
      <c r="C14" s="13"/>
      <c r="D14" s="13"/>
      <c r="E14" s="18">
        <f>E12/E13</f>
        <v>6.5384615384615383</v>
      </c>
      <c r="I14" s="13" t="s">
        <v>46</v>
      </c>
      <c r="J14" s="13"/>
      <c r="K14" s="21">
        <f>W9</f>
        <v>0</v>
      </c>
      <c r="M14" s="39" t="s">
        <v>34</v>
      </c>
      <c r="N14" s="25"/>
      <c r="O14" s="13"/>
      <c r="P14" s="13"/>
      <c r="Q14" s="27">
        <v>0</v>
      </c>
    </row>
    <row r="15" spans="1:33" ht="15" thickBot="1" x14ac:dyDescent="0.35">
      <c r="A15" s="13" t="s">
        <v>23</v>
      </c>
      <c r="B15" s="13"/>
      <c r="C15" s="13"/>
      <c r="D15" s="13"/>
      <c r="E15" s="16">
        <v>0.82</v>
      </c>
      <c r="I15" s="13" t="s">
        <v>27</v>
      </c>
      <c r="J15" s="13"/>
      <c r="K15" s="20">
        <f>H9</f>
        <v>0</v>
      </c>
      <c r="M15" s="40" t="s">
        <v>35</v>
      </c>
      <c r="N15" s="41"/>
      <c r="O15" s="14"/>
      <c r="P15" s="14"/>
      <c r="Q15" s="28">
        <v>0</v>
      </c>
    </row>
    <row r="16" spans="1:33" ht="15" thickTop="1" x14ac:dyDescent="0.3">
      <c r="I16" s="13" t="s">
        <v>28</v>
      </c>
      <c r="J16" s="13"/>
      <c r="K16" s="20">
        <f>K9</f>
        <v>0</v>
      </c>
      <c r="M16" s="37" t="s">
        <v>36</v>
      </c>
      <c r="N16" s="37"/>
      <c r="O16" s="38"/>
      <c r="P16" s="38"/>
      <c r="Q16" s="29">
        <f>Q12+Q13-Q14+Q15</f>
        <v>0</v>
      </c>
    </row>
    <row r="17" spans="9:11" x14ac:dyDescent="0.3">
      <c r="I17" s="13" t="s">
        <v>29</v>
      </c>
      <c r="J17" s="13"/>
      <c r="K17" s="20">
        <f>N9</f>
        <v>0</v>
      </c>
    </row>
    <row r="18" spans="9:11" x14ac:dyDescent="0.3">
      <c r="I18" s="13" t="s">
        <v>30</v>
      </c>
      <c r="J18" s="13"/>
      <c r="K18" s="20">
        <f>Q9</f>
        <v>0</v>
      </c>
    </row>
  </sheetData>
  <mergeCells count="2">
    <mergeCell ref="A4:B4"/>
    <mergeCell ref="A5:A8"/>
  </mergeCells>
  <conditionalFormatting sqref="C5:AG5">
    <cfRule type="cellIs" dxfId="6" priority="1" operator="equal">
      <formula>"✓"</formula>
    </cfRule>
  </conditionalFormatting>
  <conditionalFormatting sqref="C5:AG5">
    <cfRule type="cellIs" dxfId="5" priority="2" operator="equal">
      <formula>"S"</formula>
    </cfRule>
  </conditionalFormatting>
  <conditionalFormatting sqref="C5:AG5">
    <cfRule type="cellIs" dxfId="4" priority="3" operator="equal">
      <formula>"P"</formula>
    </cfRule>
  </conditionalFormatting>
  <conditionalFormatting sqref="C5:AG5">
    <cfRule type="cellIs" dxfId="3" priority="4" operator="equal">
      <formula>"V"</formula>
    </cfRule>
  </conditionalFormatting>
  <conditionalFormatting sqref="C5:AG5">
    <cfRule type="cellIs" dxfId="2" priority="5" operator="equal">
      <formula>"X"</formula>
    </cfRule>
  </conditionalFormatting>
  <conditionalFormatting sqref="C5:AG5">
    <cfRule type="cellIs" dxfId="1" priority="6" operator="equal">
      <formula>"H"</formula>
    </cfRule>
  </conditionalFormatting>
  <conditionalFormatting sqref="C8:AF8">
    <cfRule type="cellIs" dxfId="0" priority="7" operator="greaterThan">
      <formula>0</formula>
    </cfRule>
  </conditionalFormatting>
  <dataValidations count="1">
    <dataValidation type="list" allowBlank="1" showInputMessage="1" showErrorMessage="1" sqref="C5:AG5" xr:uid="{41BBECD8-965E-4A16-9CF0-CB0D7E76C268}">
      <formula1>"✓,S,P,V,X,H"</formula1>
    </dataValidation>
  </dataValidations>
  <printOptions horizontalCentered="1"/>
  <pageMargins left="0.39370078740157483" right="0.39370078740157483" top="0.43307086614173229" bottom="0.74803149606299213" header="0.31496062992125984" footer="0.31496062992125984"/>
  <pageSetup paperSize="9" scale="47" orientation="landscape" horizontalDpi="1200" verticalDpi="12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January-2026</vt:lpstr>
      <vt:lpstr>February-2026</vt:lpstr>
      <vt:lpstr>March-2026</vt:lpstr>
      <vt:lpstr>April-2026</vt:lpstr>
      <vt:lpstr>May-2026</vt:lpstr>
      <vt:lpstr>June-2026</vt:lpstr>
      <vt:lpstr>July-2026</vt:lpstr>
      <vt:lpstr>August-2026</vt:lpstr>
      <vt:lpstr>September-2026</vt:lpstr>
      <vt:lpstr>October-2026</vt:lpstr>
      <vt:lpstr>November-2026</vt:lpstr>
      <vt:lpstr>December-2026</vt:lpstr>
      <vt:lpstr>'April-2026'!Print_Area</vt:lpstr>
      <vt:lpstr>'August-2026'!Print_Area</vt:lpstr>
      <vt:lpstr>'December-2026'!Print_Area</vt:lpstr>
      <vt:lpstr>'February-2026'!Print_Area</vt:lpstr>
      <vt:lpstr>'January-2026'!Print_Area</vt:lpstr>
      <vt:lpstr>'July-2026'!Print_Area</vt:lpstr>
      <vt:lpstr>'June-2026'!Print_Area</vt:lpstr>
      <vt:lpstr>'March-2026'!Print_Area</vt:lpstr>
      <vt:lpstr>'May-2026'!Print_Area</vt:lpstr>
      <vt:lpstr>'November-2026'!Print_Area</vt:lpstr>
      <vt:lpstr>'October-2026'!Print_Area</vt:lpstr>
      <vt:lpstr>'September-2026'!Print_Area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a7050</dc:creator>
  <cp:lastModifiedBy>a7050</cp:lastModifiedBy>
  <cp:lastPrinted>2026-06-04T16:09:35Z</cp:lastPrinted>
  <dcterms:created xsi:type="dcterms:W3CDTF">2026-06-04T15:03:23Z</dcterms:created>
  <dcterms:modified xsi:type="dcterms:W3CDTF">2026-06-04T16:28:54Z</dcterms:modified>
</cp:coreProperties>
</file>